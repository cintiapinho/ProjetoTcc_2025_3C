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stimentos Fixos" sheetId="1" r:id="rId5"/>
    <sheet state="visible" name="Capital de Giro" sheetId="2" r:id="rId6"/>
    <sheet state="visible" name="Investimentos Pré-Operacionais" sheetId="3" r:id="rId7"/>
    <sheet state="visible" name="Investimento Total" sheetId="4" r:id="rId8"/>
    <sheet state="visible" name="FaturamentoXCustos" sheetId="5" r:id="rId9"/>
    <sheet state="visible" name="cont... custos" sheetId="6" r:id="rId10"/>
    <sheet state="visible" name="Resultado Final" sheetId="7" r:id="rId11"/>
  </sheets>
  <definedNames/>
  <calcPr/>
</workbook>
</file>

<file path=xl/sharedStrings.xml><?xml version="1.0" encoding="utf-8"?>
<sst xmlns="http://schemas.openxmlformats.org/spreadsheetml/2006/main" count="168" uniqueCount="135">
  <si>
    <t>Investimentos Fixos (EmpowerUp)</t>
  </si>
  <si>
    <t>5- Capital de Giro (suficiente para 6 meses)</t>
  </si>
  <si>
    <t xml:space="preserve"> (EmpowerUp)</t>
  </si>
  <si>
    <t>Descrição</t>
  </si>
  <si>
    <t>Valor mensal</t>
  </si>
  <si>
    <t>1- Máquinas e Equipamentos</t>
  </si>
  <si>
    <t>Tempo (mês)</t>
  </si>
  <si>
    <t>3- Móveis e Utensílios</t>
  </si>
  <si>
    <t>Total R$</t>
  </si>
  <si>
    <t>6- Investimentos Pré-Operacionais</t>
  </si>
  <si>
    <t>Planilha 10 - Apuração do custo de Matéria-Prima e Mercadorias Vendidas</t>
  </si>
  <si>
    <t>Qtde</t>
  </si>
  <si>
    <t>Valor Unit.</t>
  </si>
  <si>
    <t>Total</t>
  </si>
  <si>
    <t>Computador (teclado, mouse e monitor incluso)</t>
  </si>
  <si>
    <t>R$</t>
  </si>
  <si>
    <t>Formalização por MEI</t>
  </si>
  <si>
    <t>Planilha 11 - Estimativa dos custos de comercialização</t>
  </si>
  <si>
    <t xml:space="preserve">Marketing Digital </t>
  </si>
  <si>
    <t>Planilha 14 - Estimativa de custos fixos operacionais mensais(50%)</t>
  </si>
  <si>
    <t>Headsets para reuniões e suporte</t>
  </si>
  <si>
    <t>Backup externo (SSD de segurança)</t>
  </si>
  <si>
    <t>Total de Investimentos Pré Operacionais</t>
  </si>
  <si>
    <t>3- Veículos</t>
  </si>
  <si>
    <t>8- Estimativa de Faturamento Mensal</t>
  </si>
  <si>
    <t>Produto/Serviço</t>
  </si>
  <si>
    <t>Qtde (estimativa de vendas)</t>
  </si>
  <si>
    <t>Preço Unitário da Venda</t>
  </si>
  <si>
    <t>Faturamento Total</t>
  </si>
  <si>
    <t xml:space="preserve">Número de acessos </t>
  </si>
  <si>
    <t>TOTAL DE INVESTIMENTOS FIXOS</t>
  </si>
  <si>
    <t>Propagandas por cliques (20 % dos que acessaram)</t>
  </si>
  <si>
    <t>Anúncio das usuárias (vendedoras usando marketplace/ads internos)</t>
  </si>
  <si>
    <t>Plano essencial (mensalidade)</t>
  </si>
  <si>
    <t>Plano premium (mensalidade)</t>
  </si>
  <si>
    <t>Taxa de marketplace 5%</t>
  </si>
  <si>
    <t>7 - Investimento Total</t>
  </si>
  <si>
    <t>Descrição dos Investimentos</t>
  </si>
  <si>
    <t>Valor</t>
  </si>
  <si>
    <t>Percentual</t>
  </si>
  <si>
    <t>Investimentos Fixos</t>
  </si>
  <si>
    <t>9- Estimativa dos Custos Variáveis</t>
  </si>
  <si>
    <t>Matéria-Prima</t>
  </si>
  <si>
    <t xml:space="preserve">Quant </t>
  </si>
  <si>
    <t xml:space="preserve">Preço </t>
  </si>
  <si>
    <t xml:space="preserve">Preço Total </t>
  </si>
  <si>
    <t>Capital de Giro(6 meses)</t>
  </si>
  <si>
    <t>Investimentos Pré-Operacionais</t>
  </si>
  <si>
    <t>10 - Apuração do custo de Matéria-Prima e Mercadorias Vendidas</t>
  </si>
  <si>
    <t>Estimativa de vendas</t>
  </si>
  <si>
    <t>Custo Unit de Mat. Prima</t>
  </si>
  <si>
    <t>Custo Mensal de Mat. Prima</t>
  </si>
  <si>
    <t>11 - Estimativa dos custos de comercialização</t>
  </si>
  <si>
    <t>%</t>
  </si>
  <si>
    <t>Faturamento Estimado</t>
  </si>
  <si>
    <t>Custo Total</t>
  </si>
  <si>
    <t>Imposto Simples Nacional</t>
  </si>
  <si>
    <t>Taxa de Cartão Crédito</t>
  </si>
  <si>
    <t>12 - Estimativa dos custos com Mão-de-Obra</t>
  </si>
  <si>
    <t>Função</t>
  </si>
  <si>
    <r>
      <rPr>
        <rFont val="Calibri"/>
        <b/>
        <color theme="1"/>
        <sz val="11.0"/>
      </rPr>
      <t>N</t>
    </r>
    <r>
      <rPr>
        <rFont val="Calibri"/>
        <b/>
        <color rgb="FF000000"/>
        <sz val="11.0"/>
        <vertAlign val="superscript"/>
      </rPr>
      <t>o</t>
    </r>
    <r>
      <rPr>
        <rFont val="Calibri"/>
        <b/>
        <color rgb="FF000000"/>
        <sz val="11.0"/>
      </rPr>
      <t xml:space="preserve"> de Empregados</t>
    </r>
  </si>
  <si>
    <t>Salário Mensal</t>
  </si>
  <si>
    <t>Subtotal</t>
  </si>
  <si>
    <t>% de Encargos Sociais</t>
  </si>
  <si>
    <t>Encargos Sociais</t>
  </si>
  <si>
    <t>Benefícios</t>
  </si>
  <si>
    <t>Estagiário Informática(meio período)</t>
  </si>
  <si>
    <t>Demonstrativo de Resultados</t>
  </si>
  <si>
    <t>Planilhas</t>
  </si>
  <si>
    <t>Pó-labore (sócios)</t>
  </si>
  <si>
    <t>Faturamento mensal</t>
  </si>
  <si>
    <t>Total de custos com mão de Obra (mensal) - Levando em consideração o Simples Nacional</t>
  </si>
  <si>
    <t>Planilha 8</t>
  </si>
  <si>
    <t>13 - Estimativa de custo com Depreciação</t>
  </si>
  <si>
    <t>1. Estimativa de Faturamento Mensal</t>
  </si>
  <si>
    <t>Ativos Fixos</t>
  </si>
  <si>
    <t>Quant.</t>
  </si>
  <si>
    <t>Valor do Bem</t>
  </si>
  <si>
    <t>Total em Bens</t>
  </si>
  <si>
    <t>Vida útil em anos</t>
  </si>
  <si>
    <t>Depreciação Anual</t>
  </si>
  <si>
    <t>Depreciação Mensal</t>
  </si>
  <si>
    <t>Lucratividade</t>
  </si>
  <si>
    <t>2. Custos Variáveis Totais</t>
  </si>
  <si>
    <t>Rentabilidade</t>
  </si>
  <si>
    <t>Devolve esse percentual do capital Investido ao mês</t>
  </si>
  <si>
    <t>Planilha 10</t>
  </si>
  <si>
    <t>Apuração do custo de Matéria-Prima e Mercadorias Vendidas</t>
  </si>
  <si>
    <t>Retorno do Investimento (Em meses)</t>
  </si>
  <si>
    <t>meses</t>
  </si>
  <si>
    <t>Planilha 11</t>
  </si>
  <si>
    <t>Estimativas de custo de Comercialização (impostos, cartão crédito, etc)</t>
  </si>
  <si>
    <t>No-breaks (UPS)</t>
  </si>
  <si>
    <t>3. Margem de Contribuição (1-2)</t>
  </si>
  <si>
    <t>Planilha 14</t>
  </si>
  <si>
    <t>4. Custos Fixos Totais</t>
  </si>
  <si>
    <t>Total de custos com depreciação (mensal)</t>
  </si>
  <si>
    <t>5. Resultado Operacional (Lucro ou Prejuizo) (3-4)</t>
  </si>
  <si>
    <t>14 - Estimativa de custos fixos operacionais mensais</t>
  </si>
  <si>
    <t>Custos mensais</t>
  </si>
  <si>
    <t>Custo Total Mensal</t>
  </si>
  <si>
    <t>Variáveis</t>
  </si>
  <si>
    <t>Ponto de Equilibrio</t>
  </si>
  <si>
    <t>Ponto de Equilibrio = Custo Fixo total / Indice da margem de Contribuição</t>
  </si>
  <si>
    <t>Condominio</t>
  </si>
  <si>
    <t>Fixos</t>
  </si>
  <si>
    <t>Indice da margem de Contribuição = Magem de Contribuição / Receita (estimativa de faturamento)</t>
  </si>
  <si>
    <t>IPTU</t>
  </si>
  <si>
    <t>Água</t>
  </si>
  <si>
    <t>Energia Elétrica</t>
  </si>
  <si>
    <t>APLICAÇÃO DAS FÓRMULAS ACIMA E RESULTADO DO PONTO DE EQUILIBRIO (PE)</t>
  </si>
  <si>
    <t>Telefone corporativo</t>
  </si>
  <si>
    <t>Ferramentas/licenças</t>
  </si>
  <si>
    <t>Manutenção Equipamentos</t>
  </si>
  <si>
    <t>Indice da Margem de Contribuição</t>
  </si>
  <si>
    <t>Salários (Planilha 12)</t>
  </si>
  <si>
    <t>Material de Limpeza</t>
  </si>
  <si>
    <t>Material de escritório</t>
  </si>
  <si>
    <t>Uber(Transporte para representação comercial)</t>
  </si>
  <si>
    <t>Hospedagem e dominio</t>
  </si>
  <si>
    <t xml:space="preserve">Marketing digital continuo </t>
  </si>
  <si>
    <t>Treinamentos para atualização</t>
  </si>
  <si>
    <t>Certificados de Segurança SSL</t>
  </si>
  <si>
    <t>Ponto de Equilíbrio</t>
  </si>
  <si>
    <t>Depreciação (planilha 13)</t>
  </si>
  <si>
    <t>Isso  quer dizer que quando a Autollar chegar ao faturamento de informado no Ponto de Equilibrio, estará cobrindo todos os custos da empresa e daí por diante não terá mais Prejuizo, somente Lucro.</t>
  </si>
  <si>
    <t>Lucratividade = Lucro Líquido/Receita Total x 100</t>
  </si>
  <si>
    <t>APLICAÇÃO DAS FÓRMULAS ACIMA E RESULTADO DO PERCENTUAL DE LUCRATIVIDADE</t>
  </si>
  <si>
    <t>Isso quer dizer que o Projeti tem a Lucratividade informada acima!</t>
  </si>
  <si>
    <t>Rentabilidade = Lucro Líquido/Investimento Total (para chegar ao percentual multiplica o result. por 100)</t>
  </si>
  <si>
    <t>APLICAÇÃO DA FÓRMULA ACIMA E RESULTADO DO PERCENTUAL DE LUCRATIVIDADE</t>
  </si>
  <si>
    <t>Isso quer dizer que a cada mês, os empresários recupera o perentual acima em relação ao valor investido através dos lucros obtidos no negócio!</t>
  </si>
  <si>
    <t>Prazo de Retorno do Investimento</t>
  </si>
  <si>
    <t>Prazo do Retorno no Investimento = Investimento Total / Lucro Liquido</t>
  </si>
  <si>
    <t>Isso quer dizer que após 2 meses no inicio de atividade da empresa, os empreededores terá recuperado, sob a forma de lucro, tudo o que gastou com a montagem da empresa!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</si>
</sst>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R$&quot;\ #,##0.00;[Red]\-&quot;R$&quot;\ #,##0.00"/>
    <numFmt numFmtId="165" formatCode="_-&quot;R$&quot;\ * #,##0.00_-;\-&quot;R$&quot;\ * #,##0.00_-;_-&quot;R$&quot;\ * &quot;-&quot;??_-;_-@"/>
    <numFmt numFmtId="166" formatCode="_-* #,##0_-;\-* #,##0_-;_-* &quot;-&quot;??_-;_-@"/>
    <numFmt numFmtId="167" formatCode="#,##0_ ;[Red]\-#,##0\ "/>
  </numFmts>
  <fonts count="11">
    <font>
      <sz val="11.0"/>
      <color rgb="FF000000"/>
      <name val="Arial"/>
      <scheme val="minor"/>
    </font>
    <font>
      <b/>
      <sz val="16.0"/>
      <color theme="1"/>
      <name val="Adobe Gothic Std B"/>
    </font>
    <font/>
    <font>
      <b/>
      <sz val="16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theme="1"/>
      <name val="Adobe Gothic Std B"/>
    </font>
    <font>
      <b/>
      <sz val="16.0"/>
      <color rgb="FFFFFFFF"/>
      <name val="Calibri"/>
    </font>
    <font>
      <b/>
      <sz val="14.0"/>
      <color theme="1"/>
      <name val="Calibri"/>
    </font>
    <font>
      <b/>
      <sz val="22.0"/>
      <color theme="1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87A060"/>
        <bgColor rgb="FF87A060"/>
      </patternFill>
    </fill>
    <fill>
      <patternFill patternType="solid">
        <fgColor rgb="FFFF5350"/>
        <bgColor rgb="FFFF5350"/>
      </patternFill>
    </fill>
    <fill>
      <patternFill patternType="solid">
        <fgColor rgb="FFFDE9D9"/>
        <bgColor rgb="FFFDE9D9"/>
      </patternFill>
    </fill>
    <fill>
      <patternFill patternType="solid">
        <fgColor rgb="FF9CBF66"/>
        <bgColor rgb="FF9CBF66"/>
      </patternFill>
    </fill>
    <fill>
      <patternFill patternType="solid">
        <fgColor rgb="FF1D1B10"/>
        <bgColor rgb="FF1D1B10"/>
      </patternFill>
    </fill>
  </fills>
  <borders count="6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top/>
      <bottom/>
    </border>
    <border>
      <top/>
      <bottom/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1" fillId="2" fontId="3" numFmtId="0" xfId="0" applyAlignment="1" applyBorder="1" applyFont="1">
      <alignment horizontal="center"/>
    </xf>
    <xf borderId="3" fillId="0" fontId="2" numFmtId="0" xfId="0" applyBorder="1" applyFont="1"/>
    <xf borderId="0" fillId="0" fontId="4" numFmtId="0" xfId="0" applyFont="1"/>
    <xf borderId="4" fillId="0" fontId="5" numFmtId="0" xfId="0" applyAlignment="1" applyBorder="1" applyFont="1">
      <alignment horizontal="center"/>
    </xf>
    <xf borderId="2" fillId="0" fontId="6" numFmtId="0" xfId="0" applyBorder="1" applyFont="1"/>
    <xf borderId="5" fillId="0" fontId="5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3" fillId="0" fontId="6" numFmtId="0" xfId="0" applyBorder="1" applyFont="1"/>
    <xf borderId="7" fillId="0" fontId="5" numFmtId="0" xfId="0" applyBorder="1" applyFont="1"/>
    <xf borderId="8" fillId="0" fontId="5" numFmtId="0" xfId="0" applyAlignment="1" applyBorder="1" applyFont="1">
      <alignment horizontal="center"/>
    </xf>
    <xf borderId="9" fillId="0" fontId="4" numFmtId="0" xfId="0" applyBorder="1" applyFont="1"/>
    <xf borderId="10" fillId="0" fontId="5" numFmtId="0" xfId="0" applyAlignment="1" applyBorder="1" applyFont="1">
      <alignment horizontal="center"/>
    </xf>
    <xf borderId="11" fillId="0" fontId="4" numFmtId="0" xfId="0" applyBorder="1" applyFont="1"/>
    <xf borderId="12" fillId="0" fontId="5" numFmtId="0" xfId="0" applyAlignment="1" applyBorder="1" applyFont="1">
      <alignment horizontal="center"/>
    </xf>
    <xf borderId="13" fillId="0" fontId="4" numFmtId="0" xfId="0" applyAlignment="1" applyBorder="1" applyFont="1">
      <alignment horizontal="center"/>
    </xf>
    <xf borderId="14" fillId="0" fontId="5" numFmtId="0" xfId="0" applyAlignment="1" applyBorder="1" applyFont="1">
      <alignment horizontal="center"/>
    </xf>
    <xf borderId="15" fillId="0" fontId="2" numFmtId="0" xfId="0" applyBorder="1" applyFont="1"/>
    <xf borderId="16" fillId="0" fontId="5" numFmtId="0" xfId="0" applyAlignment="1" applyBorder="1" applyFont="1">
      <alignment horizontal="center"/>
    </xf>
    <xf borderId="17" fillId="0" fontId="5" numFmtId="0" xfId="0" applyAlignment="1" applyBorder="1" applyFont="1">
      <alignment horizontal="center"/>
    </xf>
    <xf borderId="7" fillId="0" fontId="4" numFmtId="0" xfId="0" applyBorder="1" applyFont="1"/>
    <xf borderId="7" fillId="0" fontId="4" numFmtId="164" xfId="0" applyBorder="1" applyFont="1" applyNumberFormat="1"/>
    <xf borderId="18" fillId="0" fontId="4" numFmtId="0" xfId="0" applyBorder="1" applyFont="1"/>
    <xf borderId="19" fillId="0" fontId="4" numFmtId="165" xfId="0" applyBorder="1" applyFont="1" applyNumberFormat="1"/>
    <xf borderId="20" fillId="0" fontId="4" numFmtId="0" xfId="0" applyBorder="1" applyFont="1"/>
    <xf borderId="21" fillId="0" fontId="4" numFmtId="164" xfId="0" applyBorder="1" applyFont="1" applyNumberFormat="1"/>
    <xf borderId="9" fillId="0" fontId="4" numFmtId="165" xfId="0" applyAlignment="1" applyBorder="1" applyFont="1" applyNumberFormat="1">
      <alignment horizontal="right"/>
    </xf>
    <xf borderId="22" fillId="0" fontId="4" numFmtId="0" xfId="0" applyAlignment="1" applyBorder="1" applyFont="1">
      <alignment horizontal="center"/>
    </xf>
    <xf borderId="23" fillId="0" fontId="4" numFmtId="0" xfId="0" applyAlignment="1" applyBorder="1" applyFont="1">
      <alignment horizontal="left"/>
    </xf>
    <xf borderId="24" fillId="0" fontId="4" numFmtId="0" xfId="0" applyBorder="1" applyFont="1"/>
    <xf borderId="25" fillId="0" fontId="4" numFmtId="165" xfId="0" applyBorder="1" applyFont="1" applyNumberFormat="1"/>
    <xf borderId="19" fillId="0" fontId="4" numFmtId="165" xfId="0" applyAlignment="1" applyBorder="1" applyFont="1" applyNumberFormat="1">
      <alignment horizontal="right"/>
    </xf>
    <xf borderId="0" fillId="0" fontId="4" numFmtId="165" xfId="0" applyFont="1" applyNumberFormat="1"/>
    <xf borderId="26" fillId="0" fontId="4" numFmtId="165" xfId="0" applyBorder="1" applyFont="1" applyNumberFormat="1"/>
    <xf borderId="17" fillId="2" fontId="3" numFmtId="0" xfId="0" applyAlignment="1" applyBorder="1" applyFont="1">
      <alignment horizontal="center"/>
    </xf>
    <xf borderId="27" fillId="0" fontId="4" numFmtId="0" xfId="0" applyAlignment="1" applyBorder="1" applyFont="1">
      <alignment horizontal="center"/>
    </xf>
    <xf borderId="7" fillId="0" fontId="4" numFmtId="165" xfId="0" applyAlignment="1" applyBorder="1" applyFont="1" applyNumberFormat="1">
      <alignment horizontal="right"/>
    </xf>
    <xf borderId="7" fillId="3" fontId="4" numFmtId="164" xfId="0" applyBorder="1" applyFill="1" applyFont="1" applyNumberFormat="1"/>
    <xf borderId="7" fillId="3" fontId="4" numFmtId="165" xfId="0" applyBorder="1" applyFont="1" applyNumberFormat="1"/>
    <xf borderId="28" fillId="3" fontId="4" numFmtId="165" xfId="0" applyBorder="1" applyFont="1" applyNumberFormat="1"/>
    <xf borderId="4" fillId="0" fontId="4" numFmtId="0" xfId="0" applyBorder="1" applyFont="1"/>
    <xf borderId="29" fillId="2" fontId="3" numFmtId="0" xfId="0" applyAlignment="1" applyBorder="1" applyFont="1">
      <alignment horizontal="center"/>
    </xf>
    <xf borderId="30" fillId="0" fontId="2" numFmtId="0" xfId="0" applyBorder="1" applyFont="1"/>
    <xf borderId="31" fillId="0" fontId="2" numFmtId="0" xfId="0" applyBorder="1" applyFont="1"/>
    <xf borderId="32" fillId="3" fontId="4" numFmtId="165" xfId="0" applyBorder="1" applyFont="1" applyNumberFormat="1"/>
    <xf borderId="32" fillId="3" fontId="4" numFmtId="164" xfId="0" applyBorder="1" applyFont="1" applyNumberFormat="1"/>
    <xf borderId="1" fillId="2" fontId="7" numFmtId="0" xfId="0" applyAlignment="1" applyBorder="1" applyFont="1">
      <alignment horizontal="center"/>
    </xf>
    <xf borderId="33" fillId="0" fontId="4" numFmtId="0" xfId="0" applyAlignment="1" applyBorder="1" applyFont="1">
      <alignment horizontal="right"/>
    </xf>
    <xf borderId="33" fillId="0" fontId="4" numFmtId="164" xfId="0" applyAlignment="1" applyBorder="1" applyFont="1" applyNumberFormat="1">
      <alignment horizontal="right"/>
    </xf>
    <xf borderId="34" fillId="0" fontId="4" numFmtId="164" xfId="0" applyAlignment="1" applyBorder="1" applyFont="1" applyNumberFormat="1">
      <alignment horizontal="right"/>
    </xf>
    <xf borderId="7" fillId="0" fontId="5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32" fillId="3" fontId="4" numFmtId="164" xfId="0" applyAlignment="1" applyBorder="1" applyFont="1" applyNumberFormat="1">
      <alignment horizontal="left"/>
    </xf>
    <xf borderId="7" fillId="0" fontId="4" numFmtId="166" xfId="0" applyBorder="1" applyFont="1" applyNumberFormat="1"/>
    <xf borderId="7" fillId="0" fontId="4" numFmtId="165" xfId="0" applyAlignment="1" applyBorder="1" applyFont="1" applyNumberFormat="1">
      <alignment horizontal="center"/>
    </xf>
    <xf borderId="28" fillId="3" fontId="4" numFmtId="164" xfId="0" applyBorder="1" applyFont="1" applyNumberFormat="1"/>
    <xf borderId="7" fillId="0" fontId="4" numFmtId="3" xfId="0" applyBorder="1" applyFont="1" applyNumberFormat="1"/>
    <xf borderId="7" fillId="0" fontId="8" numFmtId="0" xfId="0" applyAlignment="1" applyBorder="1" applyFont="1">
      <alignment horizontal="center"/>
    </xf>
    <xf borderId="7" fillId="0" fontId="8" numFmtId="3" xfId="0" applyAlignment="1" applyBorder="1" applyFont="1" applyNumberFormat="1">
      <alignment horizontal="center"/>
    </xf>
    <xf borderId="7" fillId="0" fontId="4" numFmtId="0" xfId="0" applyAlignment="1" applyBorder="1" applyFont="1">
      <alignment horizontal="left"/>
    </xf>
    <xf borderId="0" fillId="0" fontId="4" numFmtId="3" xfId="0" applyFont="1" applyNumberFormat="1"/>
    <xf borderId="35" fillId="0" fontId="4" numFmtId="3" xfId="0" applyBorder="1" applyFont="1" applyNumberFormat="1"/>
    <xf borderId="35" fillId="0" fontId="4" numFmtId="165" xfId="0" applyAlignment="1" applyBorder="1" applyFont="1" applyNumberFormat="1">
      <alignment horizontal="center"/>
    </xf>
    <xf borderId="35" fillId="0" fontId="4" numFmtId="165" xfId="0" applyAlignment="1" applyBorder="1" applyFont="1" applyNumberFormat="1">
      <alignment horizontal="right"/>
    </xf>
    <xf borderId="17" fillId="4" fontId="5" numFmtId="0" xfId="0" applyAlignment="1" applyBorder="1" applyFill="1" applyFont="1">
      <alignment horizontal="center"/>
    </xf>
    <xf borderId="14" fillId="4" fontId="5" numFmtId="0" xfId="0" applyAlignment="1" applyBorder="1" applyFont="1">
      <alignment horizontal="center"/>
    </xf>
    <xf borderId="35" fillId="0" fontId="4" numFmtId="0" xfId="0" applyBorder="1" applyFont="1"/>
    <xf borderId="36" fillId="4" fontId="4" numFmtId="0" xfId="0" applyAlignment="1" applyBorder="1" applyFont="1">
      <alignment horizontal="center"/>
    </xf>
    <xf borderId="7" fillId="0" fontId="5" numFmtId="0" xfId="0" applyAlignment="1" applyBorder="1" applyFont="1">
      <alignment horizontal="center" shrinkToFit="0" vertical="center" wrapText="1"/>
    </xf>
    <xf borderId="7" fillId="0" fontId="9" numFmtId="3" xfId="0" applyAlignment="1" applyBorder="1" applyFont="1" applyNumberFormat="1">
      <alignment horizontal="center" vertical="center"/>
    </xf>
    <xf borderId="0" fillId="0" fontId="4" numFmtId="164" xfId="0" applyFont="1" applyNumberFormat="1"/>
    <xf borderId="0" fillId="0" fontId="4" numFmtId="165" xfId="0" applyAlignment="1" applyFont="1" applyNumberFormat="1">
      <alignment horizontal="right"/>
    </xf>
    <xf borderId="37" fillId="4" fontId="4" numFmtId="164" xfId="0" applyAlignment="1" applyBorder="1" applyFont="1" applyNumberFormat="1">
      <alignment horizontal="center" vertical="center"/>
    </xf>
    <xf borderId="7" fillId="5" fontId="3" numFmtId="0" xfId="0" applyAlignment="1" applyBorder="1" applyFill="1" applyFont="1">
      <alignment horizontal="center"/>
    </xf>
    <xf borderId="7" fillId="0" fontId="5" numFmtId="0" xfId="0" applyAlignment="1" applyBorder="1" applyFont="1">
      <alignment horizontal="center"/>
    </xf>
    <xf borderId="37" fillId="4" fontId="4" numFmtId="9" xfId="0" applyAlignment="1" applyBorder="1" applyFont="1" applyNumberFormat="1">
      <alignment horizontal="center" vertical="center"/>
    </xf>
    <xf borderId="7" fillId="0" fontId="4" numFmtId="0" xfId="0" applyAlignment="1" applyBorder="1" applyFont="1">
      <alignment horizontal="center"/>
    </xf>
    <xf borderId="20" fillId="4" fontId="4" numFmtId="0" xfId="0" applyAlignment="1" applyBorder="1" applyFont="1">
      <alignment horizontal="center"/>
    </xf>
    <xf borderId="22" fillId="5" fontId="5" numFmtId="0" xfId="0" applyAlignment="1" applyBorder="1" applyFont="1">
      <alignment horizontal="center"/>
    </xf>
    <xf borderId="7" fillId="4" fontId="4" numFmtId="164" xfId="0" applyAlignment="1" applyBorder="1" applyFont="1" applyNumberFormat="1">
      <alignment horizontal="center" vertical="center"/>
    </xf>
    <xf borderId="38" fillId="0" fontId="2" numFmtId="0" xfId="0" applyBorder="1" applyFont="1"/>
    <xf borderId="21" fillId="0" fontId="2" numFmtId="0" xfId="0" applyBorder="1" applyFont="1"/>
    <xf borderId="0" fillId="0" fontId="5" numFmtId="0" xfId="0" applyFont="1"/>
    <xf borderId="7" fillId="4" fontId="4" numFmtId="9" xfId="0" applyAlignment="1" applyBorder="1" applyFont="1" applyNumberFormat="1">
      <alignment horizontal="center" vertical="center"/>
    </xf>
    <xf borderId="0" fillId="0" fontId="5" numFmtId="3" xfId="0" applyFont="1" applyNumberFormat="1"/>
    <xf borderId="39" fillId="3" fontId="5" numFmtId="164" xfId="0" applyAlignment="1" applyBorder="1" applyFont="1" applyNumberFormat="1">
      <alignment horizontal="center"/>
    </xf>
    <xf borderId="7" fillId="0" fontId="4" numFmtId="164" xfId="0" applyAlignment="1" applyBorder="1" applyFont="1" applyNumberFormat="1">
      <alignment horizontal="right"/>
    </xf>
    <xf borderId="0" fillId="0" fontId="5" numFmtId="0" xfId="0" applyAlignment="1" applyFont="1">
      <alignment horizontal="center"/>
    </xf>
    <xf borderId="0" fillId="0" fontId="5" numFmtId="3" xfId="0" applyAlignment="1" applyFont="1" applyNumberFormat="1">
      <alignment horizontal="center"/>
    </xf>
    <xf borderId="0" fillId="0" fontId="5" numFmtId="0" xfId="0" applyAlignment="1" applyFont="1">
      <alignment horizontal="left"/>
    </xf>
    <xf borderId="7" fillId="0" fontId="4" numFmtId="9" xfId="0" applyBorder="1" applyFont="1" applyNumberFormat="1"/>
    <xf borderId="7" fillId="0" fontId="4" numFmtId="165" xfId="0" applyBorder="1" applyFont="1" applyNumberFormat="1"/>
    <xf borderId="0" fillId="0" fontId="4" numFmtId="0" xfId="0" applyAlignment="1" applyFont="1">
      <alignment horizontal="center"/>
    </xf>
    <xf borderId="7" fillId="0" fontId="4" numFmtId="164" xfId="0" applyAlignment="1" applyBorder="1" applyFont="1" applyNumberFormat="1">
      <alignment horizontal="center"/>
    </xf>
    <xf borderId="7" fillId="0" fontId="4" numFmtId="9" xfId="0" applyAlignment="1" applyBorder="1" applyFont="1" applyNumberFormat="1">
      <alignment horizontal="center"/>
    </xf>
    <xf borderId="40" fillId="0" fontId="4" numFmtId="0" xfId="0" applyBorder="1" applyFont="1"/>
    <xf borderId="7" fillId="2" fontId="3" numFmtId="0" xfId="0" applyAlignment="1" applyBorder="1" applyFont="1">
      <alignment horizontal="center" shrinkToFit="0" vertical="center" wrapText="1"/>
    </xf>
    <xf borderId="41" fillId="6" fontId="4" numFmtId="0" xfId="0" applyBorder="1" applyFill="1" applyFont="1"/>
    <xf borderId="22" fillId="3" fontId="4" numFmtId="165" xfId="0" applyAlignment="1" applyBorder="1" applyFont="1" applyNumberFormat="1">
      <alignment horizontal="center" vertical="center"/>
    </xf>
    <xf borderId="0" fillId="0" fontId="4" numFmtId="164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0" fillId="0" fontId="4" numFmtId="9" xfId="0" applyAlignment="1" applyFont="1" applyNumberFormat="1">
      <alignment horizontal="center"/>
    </xf>
    <xf borderId="17" fillId="2" fontId="4" numFmtId="0" xfId="0" applyBorder="1" applyFont="1"/>
    <xf borderId="14" fillId="2" fontId="5" numFmtId="0" xfId="0" applyAlignment="1" applyBorder="1" applyFont="1">
      <alignment horizontal="left"/>
    </xf>
    <xf borderId="42" fillId="0" fontId="5" numFmtId="0" xfId="0" applyAlignment="1" applyBorder="1" applyFont="1">
      <alignment horizontal="center" vertical="center"/>
    </xf>
    <xf borderId="24" fillId="0" fontId="5" numFmtId="0" xfId="0" applyAlignment="1" applyBorder="1" applyFont="1">
      <alignment horizontal="center" vertical="center"/>
    </xf>
    <xf borderId="24" fillId="0" fontId="5" numFmtId="0" xfId="0" applyAlignment="1" applyBorder="1" applyFont="1">
      <alignment horizontal="center" shrinkToFit="0" vertical="center" wrapText="1"/>
    </xf>
    <xf borderId="43" fillId="0" fontId="5" numFmtId="0" xfId="0" applyBorder="1" applyFont="1"/>
    <xf borderId="44" fillId="2" fontId="4" numFmtId="165" xfId="0" applyAlignment="1" applyBorder="1" applyFont="1" applyNumberFormat="1">
      <alignment horizontal="right"/>
    </xf>
    <xf borderId="16" fillId="2" fontId="4" numFmtId="9" xfId="0" applyAlignment="1" applyBorder="1" applyFont="1" applyNumberFormat="1">
      <alignment horizontal="center"/>
    </xf>
    <xf borderId="7" fillId="3" fontId="4" numFmtId="9" xfId="0" applyAlignment="1" applyBorder="1" applyFont="1" applyNumberFormat="1">
      <alignment horizontal="center" vertical="center"/>
    </xf>
    <xf borderId="7" fillId="3" fontId="4" numFmtId="165" xfId="0" applyAlignment="1" applyBorder="1" applyFont="1" applyNumberFormat="1">
      <alignment horizontal="center" vertical="center"/>
    </xf>
    <xf borderId="7" fillId="0" fontId="4" numFmtId="165" xfId="0" applyAlignment="1" applyBorder="1" applyFont="1" applyNumberFormat="1">
      <alignment horizontal="left"/>
    </xf>
    <xf borderId="7" fillId="0" fontId="4" numFmtId="167" xfId="0" applyAlignment="1" applyBorder="1" applyFont="1" applyNumberFormat="1">
      <alignment horizontal="center"/>
    </xf>
    <xf borderId="9" fillId="0" fontId="5" numFmtId="0" xfId="0" applyAlignment="1" applyBorder="1" applyFont="1">
      <alignment horizontal="left"/>
    </xf>
    <xf borderId="24" fillId="0" fontId="4" numFmtId="164" xfId="0" applyAlignment="1" applyBorder="1" applyFont="1" applyNumberFormat="1">
      <alignment horizontal="center"/>
    </xf>
    <xf borderId="19" fillId="0" fontId="4" numFmtId="165" xfId="0" applyAlignment="1" applyBorder="1" applyFont="1" applyNumberFormat="1">
      <alignment horizontal="center"/>
    </xf>
    <xf borderId="7" fillId="3" fontId="4" numFmtId="9" xfId="0" applyAlignment="1" applyBorder="1" applyFont="1" applyNumberFormat="1">
      <alignment horizontal="center" shrinkToFit="0" vertical="center" wrapText="1"/>
    </xf>
    <xf borderId="9" fillId="0" fontId="2" numFmtId="0" xfId="0" applyBorder="1" applyFont="1"/>
    <xf borderId="45" fillId="0" fontId="4" numFmtId="0" xfId="0" applyAlignment="1" applyBorder="1" applyFont="1">
      <alignment horizontal="center"/>
    </xf>
    <xf borderId="46" fillId="0" fontId="4" numFmtId="0" xfId="0" applyAlignment="1" applyBorder="1" applyFont="1">
      <alignment horizontal="left"/>
    </xf>
    <xf borderId="7" fillId="3" fontId="4" numFmtId="1" xfId="0" applyAlignment="1" applyBorder="1" applyFont="1" applyNumberFormat="1">
      <alignment horizontal="center" vertical="center"/>
    </xf>
    <xf borderId="45" fillId="0" fontId="4" numFmtId="165" xfId="0" applyAlignment="1" applyBorder="1" applyFont="1" applyNumberFormat="1">
      <alignment horizontal="center"/>
    </xf>
    <xf borderId="47" fillId="0" fontId="4" numFmtId="0" xfId="0" applyBorder="1" applyFont="1"/>
    <xf borderId="4" fillId="0" fontId="5" numFmtId="0" xfId="0" applyBorder="1" applyFont="1"/>
    <xf borderId="4" fillId="0" fontId="4" numFmtId="164" xfId="0" applyBorder="1" applyFont="1" applyNumberFormat="1"/>
    <xf borderId="48" fillId="0" fontId="4" numFmtId="9" xfId="0" applyAlignment="1" applyBorder="1" applyFont="1" applyNumberFormat="1">
      <alignment horizontal="center"/>
    </xf>
    <xf borderId="49" fillId="0" fontId="4" numFmtId="0" xfId="0" applyBorder="1" applyFont="1"/>
    <xf borderId="25" fillId="0" fontId="4" numFmtId="165" xfId="0" applyAlignment="1" applyBorder="1" applyFont="1" applyNumberFormat="1">
      <alignment horizontal="right"/>
    </xf>
    <xf borderId="50" fillId="0" fontId="4" numFmtId="165" xfId="0" applyAlignment="1" applyBorder="1" applyFont="1" applyNumberFormat="1">
      <alignment horizontal="center"/>
    </xf>
    <xf borderId="17" fillId="0" fontId="4" numFmtId="0" xfId="0" applyBorder="1" applyFont="1"/>
    <xf borderId="14" fillId="0" fontId="5" numFmtId="0" xfId="0" applyAlignment="1" applyBorder="1" applyFont="1">
      <alignment horizontal="left"/>
    </xf>
    <xf borderId="14" fillId="0" fontId="4" numFmtId="165" xfId="0" applyAlignment="1" applyBorder="1" applyFont="1" applyNumberFormat="1">
      <alignment horizontal="right"/>
    </xf>
    <xf borderId="16" fillId="0" fontId="4" numFmtId="9" xfId="0" applyAlignment="1" applyBorder="1" applyFont="1" applyNumberFormat="1">
      <alignment horizontal="center"/>
    </xf>
    <xf borderId="51" fillId="2" fontId="4" numFmtId="0" xfId="0" applyBorder="1" applyFont="1"/>
    <xf borderId="52" fillId="2" fontId="5" numFmtId="0" xfId="0" applyAlignment="1" applyBorder="1" applyFont="1">
      <alignment horizontal="left"/>
    </xf>
    <xf borderId="53" fillId="3" fontId="4" numFmtId="165" xfId="0" applyBorder="1" applyFont="1" applyNumberFormat="1"/>
    <xf borderId="32" fillId="2" fontId="4" numFmtId="165" xfId="0" applyAlignment="1" applyBorder="1" applyFont="1" applyNumberFormat="1">
      <alignment horizontal="right"/>
    </xf>
    <xf borderId="54" fillId="2" fontId="3" numFmtId="0" xfId="0" applyAlignment="1" applyBorder="1" applyFont="1">
      <alignment horizontal="center"/>
    </xf>
    <xf borderId="55" fillId="0" fontId="2" numFmtId="0" xfId="0" applyBorder="1" applyFont="1"/>
    <xf borderId="56" fillId="2" fontId="4" numFmtId="9" xfId="0" applyAlignment="1" applyBorder="1" applyFont="1" applyNumberFormat="1">
      <alignment horizontal="center"/>
    </xf>
    <xf borderId="0" fillId="0" fontId="10" numFmtId="164" xfId="0" applyFont="1" applyNumberFormat="1"/>
    <xf borderId="7" fillId="3" fontId="4" numFmtId="0" xfId="0" applyBorder="1" applyFont="1"/>
    <xf borderId="1" fillId="0" fontId="3" numFmtId="0" xfId="0" applyAlignment="1" applyBorder="1" applyFont="1">
      <alignment horizontal="center"/>
    </xf>
    <xf borderId="57" fillId="3" fontId="3" numFmtId="0" xfId="0" applyAlignment="1" applyBorder="1" applyFont="1">
      <alignment horizontal="center"/>
    </xf>
    <xf borderId="58" fillId="0" fontId="2" numFmtId="0" xfId="0" applyBorder="1" applyFont="1"/>
    <xf borderId="59" fillId="0" fontId="2" numFmtId="0" xfId="0" applyBorder="1" applyFont="1"/>
    <xf borderId="9" fillId="0" fontId="5" numFmtId="0" xfId="0" applyAlignment="1" applyBorder="1" applyFont="1">
      <alignment horizontal="center"/>
    </xf>
    <xf borderId="60" fillId="3" fontId="3" numFmtId="0" xfId="0" applyAlignment="1" applyBorder="1" applyFont="1">
      <alignment horizontal="center"/>
    </xf>
    <xf borderId="61" fillId="0" fontId="5" numFmtId="0" xfId="0" applyBorder="1" applyFont="1"/>
    <xf borderId="23" fillId="0" fontId="5" numFmtId="0" xfId="0" applyAlignment="1" applyBorder="1" applyFont="1">
      <alignment horizontal="center"/>
    </xf>
    <xf borderId="7" fillId="2" fontId="5" numFmtId="0" xfId="0" applyAlignment="1" applyBorder="1" applyFont="1">
      <alignment horizontal="center"/>
    </xf>
    <xf borderId="60" fillId="3" fontId="3" numFmtId="165" xfId="0" applyAlignment="1" applyBorder="1" applyFont="1" applyNumberFormat="1">
      <alignment horizontal="center"/>
    </xf>
    <xf borderId="62" fillId="0" fontId="5" numFmtId="0" xfId="0" applyBorder="1" applyFont="1"/>
    <xf borderId="1" fillId="0" fontId="5" numFmtId="0" xfId="0" applyAlignment="1" applyBorder="1" applyFont="1">
      <alignment horizontal="center" shrinkToFit="0" wrapText="1"/>
    </xf>
    <xf borderId="63" fillId="3" fontId="4" numFmtId="9" xfId="0" applyAlignment="1" applyBorder="1" applyFont="1" applyNumberFormat="1">
      <alignment horizontal="center"/>
    </xf>
    <xf borderId="64" fillId="0" fontId="5" numFmtId="9" xfId="0" applyBorder="1" applyFont="1" applyNumberFormat="1"/>
    <xf borderId="62" fillId="0" fontId="2" numFmtId="0" xfId="0" applyBorder="1" applyFont="1"/>
    <xf borderId="63" fillId="3" fontId="4" numFmtId="1" xfId="0" applyAlignment="1" applyBorder="1" applyFont="1" applyNumberFormat="1">
      <alignment horizontal="center"/>
    </xf>
    <xf borderId="64" fillId="0" fontId="5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Investimento Total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0" i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i="0">
                        <a:solidFill>
                          <a:srgbClr val="000000"/>
                        </a:solidFill>
                        <a:latin typeface="+mn-lt"/>
                      </a:rPr>
                      <a:t>[VALOR]; [PORCENTAGEM]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0" i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i="0">
                        <a:solidFill>
                          <a:srgbClr val="000000"/>
                        </a:solidFill>
                        <a:latin typeface="+mn-lt"/>
                      </a:rPr>
                      <a:t>[VALOR]; [PORCENTAGEM]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 i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i="0">
                        <a:solidFill>
                          <a:srgbClr val="000000"/>
                        </a:solidFill>
                        <a:latin typeface="+mn-lt"/>
                      </a:rPr>
                      <a:t>[VALOR]; [PORCENTAGEM]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'Investimento Total'!$A$3:$A$5</c:f>
            </c:strRef>
          </c:cat>
          <c:val>
            <c:numRef>
              <c:f>'Investimento Total'!$B$3:$B$5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Custos Mensais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0" i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i="0">
                        <a:solidFill>
                          <a:srgbClr val="000000"/>
                        </a:solidFill>
                        <a:latin typeface="+mn-lt"/>
                      </a:rPr>
                      <a:t>[VALOR][PORCENTAGEM]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0" i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i="0">
                        <a:solidFill>
                          <a:srgbClr val="000000"/>
                        </a:solidFill>
                        <a:latin typeface="+mn-lt"/>
                      </a:rPr>
                      <a:t>[VALOR][PORCENTAGEM]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'cont... custos'!$D$24:$D$25</c:f>
            </c:strRef>
          </c:cat>
          <c:val>
            <c:numRef>
              <c:f>'cont... custos'!$E$24:$E$25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390525</xdr:colOff>
      <xdr:row>1</xdr:row>
      <xdr:rowOff>28575</xdr:rowOff>
    </xdr:from>
    <xdr:ext cx="4810125" cy="30765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800100</xdr:colOff>
      <xdr:row>26</xdr:row>
      <xdr:rowOff>171450</xdr:rowOff>
    </xdr:from>
    <xdr:ext cx="4591050" cy="30003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43.75"/>
    <col customWidth="1" min="3" max="3" width="10.63"/>
    <col customWidth="1" min="4" max="4" width="12.25"/>
    <col customWidth="1" min="5" max="5" width="12.13"/>
    <col customWidth="1" min="6" max="6" width="9.13"/>
    <col customWidth="1" min="7" max="7" width="27.38"/>
    <col customWidth="1" min="8" max="8" width="9.13"/>
    <col customWidth="1" min="9" max="9" width="13.25"/>
    <col customWidth="1" min="10" max="10" width="16.0"/>
    <col customWidth="1" min="11" max="26" width="9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3" t="s">
        <v>5</v>
      </c>
      <c r="C3" s="2"/>
      <c r="D3" s="2"/>
      <c r="E3" s="4"/>
      <c r="F3" s="5"/>
      <c r="G3" s="3" t="s">
        <v>7</v>
      </c>
      <c r="H3" s="2"/>
      <c r="I3" s="2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12" t="s">
        <v>3</v>
      </c>
      <c r="C4" s="14" t="s">
        <v>11</v>
      </c>
      <c r="D4" s="14" t="s">
        <v>12</v>
      </c>
      <c r="E4" s="16" t="s">
        <v>13</v>
      </c>
      <c r="F4" s="5"/>
      <c r="G4" s="12" t="s">
        <v>3</v>
      </c>
      <c r="H4" s="18" t="s">
        <v>11</v>
      </c>
      <c r="I4" s="18"/>
      <c r="J4" s="20" t="s">
        <v>13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22" t="s">
        <v>14</v>
      </c>
      <c r="C5" s="22">
        <v>5.0</v>
      </c>
      <c r="D5" s="23">
        <v>4000.0</v>
      </c>
      <c r="E5" s="23">
        <f t="shared" ref="E5:E7" si="1">C5*D5</f>
        <v>20000</v>
      </c>
      <c r="F5" s="5"/>
      <c r="G5" s="22"/>
      <c r="H5" s="13"/>
      <c r="I5" s="28"/>
      <c r="J5" s="33">
        <f t="shared" ref="J5:J8" si="2">H5*I5</f>
        <v>0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22" t="s">
        <v>20</v>
      </c>
      <c r="C6" s="22">
        <v>5.0</v>
      </c>
      <c r="D6" s="23">
        <v>300.0</v>
      </c>
      <c r="E6" s="23">
        <f t="shared" si="1"/>
        <v>1500</v>
      </c>
      <c r="F6" s="5"/>
      <c r="G6" s="22"/>
      <c r="H6" s="22"/>
      <c r="I6" s="38"/>
      <c r="J6" s="33">
        <f t="shared" si="2"/>
        <v>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22" t="s">
        <v>21</v>
      </c>
      <c r="C7" s="22">
        <v>2.0</v>
      </c>
      <c r="D7" s="23">
        <v>500.0</v>
      </c>
      <c r="E7" s="23">
        <f t="shared" si="1"/>
        <v>1000</v>
      </c>
      <c r="F7" s="5"/>
      <c r="G7" s="22"/>
      <c r="H7" s="22"/>
      <c r="I7" s="38"/>
      <c r="J7" s="33">
        <f t="shared" si="2"/>
        <v>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22"/>
      <c r="C8" s="22"/>
      <c r="D8" s="23"/>
      <c r="E8" s="23"/>
      <c r="F8" s="5"/>
      <c r="G8" s="22"/>
      <c r="H8" s="22"/>
      <c r="I8" s="38"/>
      <c r="J8" s="33">
        <f t="shared" si="2"/>
        <v>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26"/>
      <c r="C9" s="22"/>
      <c r="D9" s="23"/>
      <c r="E9" s="23"/>
      <c r="F9" s="5"/>
      <c r="G9" s="22"/>
      <c r="H9" s="22"/>
      <c r="I9" s="38"/>
      <c r="J9" s="33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22"/>
      <c r="C10" s="22"/>
      <c r="D10" s="23"/>
      <c r="E10" s="23"/>
      <c r="F10" s="5"/>
      <c r="G10" s="22"/>
      <c r="H10" s="42"/>
      <c r="I10" s="38"/>
      <c r="J10" s="33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22"/>
      <c r="C11" s="22"/>
      <c r="D11" s="23"/>
      <c r="E11" s="23"/>
      <c r="F11" s="5"/>
      <c r="G11" s="43" t="s">
        <v>13</v>
      </c>
      <c r="H11" s="44"/>
      <c r="I11" s="45"/>
      <c r="J11" s="46">
        <f>SUM(J5:J10)</f>
        <v>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43" t="s">
        <v>13</v>
      </c>
      <c r="C12" s="44"/>
      <c r="D12" s="45"/>
      <c r="E12" s="47">
        <f>SUM(E5:E11)</f>
        <v>22500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48" t="s">
        <v>23</v>
      </c>
      <c r="H13" s="2"/>
      <c r="I13" s="19"/>
      <c r="J13" s="36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21" t="s">
        <v>3</v>
      </c>
      <c r="H14" s="18" t="s">
        <v>11</v>
      </c>
      <c r="I14" s="18" t="s">
        <v>12</v>
      </c>
      <c r="J14" s="20" t="s">
        <v>13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30"/>
      <c r="H15" s="49"/>
      <c r="I15" s="50"/>
      <c r="J15" s="51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0" customHeight="1">
      <c r="A16" s="5"/>
      <c r="B16" s="5"/>
      <c r="C16" s="5"/>
      <c r="D16" s="5"/>
      <c r="E16" s="5"/>
      <c r="F16" s="5"/>
      <c r="G16" s="3" t="s">
        <v>13</v>
      </c>
      <c r="H16" s="2"/>
      <c r="I16" s="19"/>
      <c r="J16" s="54">
        <f>SUM(J15)</f>
        <v>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3" t="s">
        <v>30</v>
      </c>
      <c r="H19" s="2"/>
      <c r="I19" s="19"/>
      <c r="J19" s="57">
        <f>E12+J11+J16+E19</f>
        <v>22500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J1"/>
    <mergeCell ref="B3:E3"/>
    <mergeCell ref="G3:J3"/>
    <mergeCell ref="G11:I11"/>
    <mergeCell ref="B12:D12"/>
    <mergeCell ref="G13:I13"/>
    <mergeCell ref="G16:I16"/>
    <mergeCell ref="G19:I19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2.63" defaultRowHeight="15.0"/>
  <cols>
    <col customWidth="1" min="1" max="1" width="66.63"/>
    <col customWidth="1" min="2" max="2" width="16.25"/>
    <col customWidth="1" min="3" max="3" width="17.88"/>
    <col customWidth="1" min="4" max="4" width="21.38"/>
    <col customWidth="1" min="5" max="6" width="8.75"/>
    <col customWidth="1" min="7" max="26" width="14.38"/>
  </cols>
  <sheetData>
    <row r="1">
      <c r="A1" s="3" t="s">
        <v>1</v>
      </c>
      <c r="B1" s="2"/>
      <c r="C1" s="2"/>
      <c r="D1" s="4"/>
    </row>
    <row r="2">
      <c r="A2" s="6" t="s">
        <v>3</v>
      </c>
      <c r="B2" s="8" t="s">
        <v>4</v>
      </c>
      <c r="C2" s="9" t="s">
        <v>6</v>
      </c>
      <c r="D2" s="11" t="s">
        <v>8</v>
      </c>
    </row>
    <row r="3">
      <c r="A3" s="13" t="s">
        <v>10</v>
      </c>
      <c r="B3" s="15">
        <v>0.0</v>
      </c>
      <c r="C3" s="17">
        <v>6.0</v>
      </c>
      <c r="D3" s="23">
        <f t="shared" ref="D3:D5" si="1">B3*C3</f>
        <v>0</v>
      </c>
    </row>
    <row r="4">
      <c r="A4" s="22" t="s">
        <v>17</v>
      </c>
      <c r="B4" s="27">
        <f>FaturamentoXCustos!D34</f>
        <v>4476.38</v>
      </c>
      <c r="C4" s="29">
        <v>6.0</v>
      </c>
      <c r="D4" s="23">
        <f t="shared" si="1"/>
        <v>26858.28</v>
      </c>
    </row>
    <row r="5">
      <c r="A5" s="31" t="s">
        <v>19</v>
      </c>
      <c r="B5" s="35">
        <f>('cont... custos'!B41)</f>
        <v>12685.41667</v>
      </c>
      <c r="C5" s="37">
        <v>6.0</v>
      </c>
      <c r="D5" s="23">
        <f t="shared" si="1"/>
        <v>76112.5</v>
      </c>
    </row>
    <row r="6">
      <c r="A6" s="3" t="s">
        <v>13</v>
      </c>
      <c r="B6" s="2"/>
      <c r="C6" s="19"/>
      <c r="D6" s="39">
        <f>SUM(D4:D5)</f>
        <v>102970.78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6:C6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2.63" defaultRowHeight="15.0"/>
  <cols>
    <col customWidth="1" min="1" max="1" width="54.0"/>
    <col customWidth="1" min="2" max="2" width="37.75"/>
    <col customWidth="1" min="3" max="3" width="49.63"/>
    <col customWidth="1" min="4" max="4" width="16.13"/>
    <col customWidth="1" min="5" max="5" width="44.38"/>
    <col customWidth="1" min="6" max="6" width="14.38"/>
    <col customWidth="1" min="7" max="7" width="10.75"/>
    <col customWidth="1" min="8" max="8" width="11.75"/>
    <col customWidth="1" min="9" max="10" width="8.75"/>
    <col customWidth="1" min="11" max="26" width="14.38"/>
  </cols>
  <sheetData>
    <row r="1">
      <c r="A1" s="3" t="s">
        <v>2</v>
      </c>
      <c r="B1" s="2"/>
      <c r="C1" s="7"/>
      <c r="D1" s="7"/>
      <c r="E1" s="7"/>
      <c r="F1" s="7"/>
      <c r="G1" s="7"/>
      <c r="H1" s="7"/>
      <c r="I1" s="7"/>
      <c r="J1" s="10"/>
    </row>
    <row r="2">
      <c r="A2" s="3" t="s">
        <v>9</v>
      </c>
      <c r="B2" s="19"/>
    </row>
    <row r="3">
      <c r="A3" s="21" t="s">
        <v>3</v>
      </c>
      <c r="B3" s="20" t="s">
        <v>15</v>
      </c>
    </row>
    <row r="4">
      <c r="A4" s="24" t="s">
        <v>16</v>
      </c>
      <c r="B4" s="25">
        <v>300.0</v>
      </c>
    </row>
    <row r="5">
      <c r="A5" s="26" t="s">
        <v>18</v>
      </c>
      <c r="B5" s="25">
        <v>5000.0</v>
      </c>
    </row>
    <row r="6">
      <c r="A6" s="30"/>
      <c r="B6" s="32"/>
    </row>
    <row r="7">
      <c r="A7" s="30"/>
      <c r="B7" s="32"/>
      <c r="D7" s="34"/>
      <c r="E7" s="34"/>
    </row>
    <row r="8">
      <c r="A8" s="36" t="s">
        <v>13</v>
      </c>
      <c r="B8" s="40">
        <f>SUM(B4:B7)</f>
        <v>5300</v>
      </c>
      <c r="D8" s="34"/>
      <c r="E8" s="34"/>
    </row>
    <row r="9">
      <c r="A9" s="5"/>
      <c r="B9" s="34"/>
      <c r="D9" s="34"/>
      <c r="E9" s="34"/>
    </row>
    <row r="10">
      <c r="A10" s="36" t="s">
        <v>22</v>
      </c>
      <c r="B10" s="41">
        <f>B8+F6</f>
        <v>5300</v>
      </c>
      <c r="D10" s="34"/>
      <c r="E10" s="34"/>
    </row>
    <row r="11">
      <c r="D11" s="34"/>
      <c r="E11" s="34"/>
    </row>
    <row r="14">
      <c r="C14" s="3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2.63" defaultRowHeight="15.0"/>
  <cols>
    <col customWidth="1" min="1" max="2" width="30.13"/>
    <col customWidth="1" min="3" max="3" width="17.63"/>
    <col customWidth="1" min="4" max="6" width="8.75"/>
    <col customWidth="1" min="7" max="26" width="14.38"/>
  </cols>
  <sheetData>
    <row r="1">
      <c r="A1" s="3" t="s">
        <v>36</v>
      </c>
      <c r="B1" s="2"/>
      <c r="C1" s="19"/>
    </row>
    <row r="2">
      <c r="A2" s="66" t="s">
        <v>37</v>
      </c>
      <c r="B2" s="67" t="s">
        <v>38</v>
      </c>
      <c r="C2" s="67" t="s">
        <v>39</v>
      </c>
    </row>
    <row r="3">
      <c r="A3" s="69" t="s">
        <v>40</v>
      </c>
      <c r="B3" s="74">
        <f>'Investimentos Fixos'!J19</f>
        <v>22500</v>
      </c>
      <c r="C3" s="77">
        <f>B3/B6</f>
        <v>0.1720567852</v>
      </c>
    </row>
    <row r="4">
      <c r="A4" s="79" t="s">
        <v>46</v>
      </c>
      <c r="B4" s="74">
        <f>'Capital de Giro'!D6</f>
        <v>102970.78</v>
      </c>
      <c r="C4" s="77">
        <f>B4/B6</f>
        <v>0.7874142832</v>
      </c>
    </row>
    <row r="5">
      <c r="A5" s="79" t="s">
        <v>47</v>
      </c>
      <c r="B5" s="81">
        <f>'Investimentos Pré-Operacionais'!B10</f>
        <v>5300</v>
      </c>
      <c r="C5" s="85">
        <f>B5/B6</f>
        <v>0.04052893162</v>
      </c>
    </row>
    <row r="6">
      <c r="A6" s="36" t="s">
        <v>13</v>
      </c>
      <c r="B6" s="87">
        <f>SUM(B3:B5)</f>
        <v>130770.78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7.25"/>
    <col customWidth="1" min="2" max="2" width="26.63"/>
    <col customWidth="1" min="3" max="3" width="22.13"/>
    <col customWidth="1" min="4" max="4" width="25.88"/>
    <col customWidth="1" min="5" max="5" width="1.75"/>
    <col customWidth="1" min="6" max="6" width="73.38"/>
    <col customWidth="1" min="7" max="7" width="35.0"/>
    <col customWidth="1" min="8" max="8" width="30.0"/>
    <col customWidth="1" min="9" max="24" width="8.75"/>
    <col customWidth="1" min="25" max="26" width="14.38"/>
  </cols>
  <sheetData>
    <row r="1">
      <c r="A1" s="3" t="s">
        <v>24</v>
      </c>
      <c r="B1" s="2"/>
      <c r="C1" s="19"/>
      <c r="D1" s="36"/>
      <c r="E1" s="5"/>
    </row>
    <row r="2" ht="42.75" customHeight="1">
      <c r="A2" s="52" t="s">
        <v>25</v>
      </c>
      <c r="B2" s="52" t="s">
        <v>26</v>
      </c>
      <c r="C2" s="52" t="s">
        <v>27</v>
      </c>
      <c r="D2" s="52" t="s">
        <v>28</v>
      </c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</row>
    <row r="3">
      <c r="A3" s="22" t="s">
        <v>29</v>
      </c>
      <c r="B3" s="55">
        <v>10300.0</v>
      </c>
      <c r="C3" s="56">
        <v>0.1</v>
      </c>
      <c r="D3" s="38">
        <f>C3*B3</f>
        <v>1030</v>
      </c>
      <c r="E3" s="5"/>
    </row>
    <row r="4">
      <c r="A4" s="22" t="s">
        <v>31</v>
      </c>
      <c r="B4" s="58">
        <f>B3*0.2</f>
        <v>2060</v>
      </c>
      <c r="C4" s="56">
        <v>0.1</v>
      </c>
      <c r="D4" s="38">
        <f t="shared" ref="D4:D7" si="1">B4*C4</f>
        <v>206</v>
      </c>
      <c r="E4" s="5"/>
      <c r="F4" s="59"/>
      <c r="G4" s="60"/>
    </row>
    <row r="5">
      <c r="A5" s="22" t="s">
        <v>32</v>
      </c>
      <c r="B5" s="58">
        <v>200.0</v>
      </c>
      <c r="C5" s="56">
        <v>20.0</v>
      </c>
      <c r="D5" s="38">
        <f t="shared" si="1"/>
        <v>4000</v>
      </c>
      <c r="E5" s="5"/>
      <c r="F5" s="61"/>
      <c r="G5" s="58"/>
    </row>
    <row r="6">
      <c r="A6" s="22" t="s">
        <v>33</v>
      </c>
      <c r="B6" s="55">
        <v>320.0</v>
      </c>
      <c r="C6" s="56">
        <v>30.0</v>
      </c>
      <c r="D6" s="38">
        <f t="shared" si="1"/>
        <v>9600</v>
      </c>
      <c r="E6" s="5"/>
      <c r="F6" s="22"/>
      <c r="G6" s="58"/>
    </row>
    <row r="7">
      <c r="A7" s="22" t="s">
        <v>34</v>
      </c>
      <c r="B7" s="58">
        <v>80.0</v>
      </c>
      <c r="C7" s="56">
        <v>50.0</v>
      </c>
      <c r="D7" s="38">
        <f t="shared" si="1"/>
        <v>4000</v>
      </c>
      <c r="E7" s="5"/>
      <c r="F7" s="22"/>
      <c r="G7" s="62"/>
    </row>
    <row r="8">
      <c r="A8" s="22" t="s">
        <v>35</v>
      </c>
      <c r="B8" s="63">
        <v>300.0</v>
      </c>
      <c r="C8" s="64">
        <v>200.0</v>
      </c>
      <c r="D8" s="65">
        <f>(B8*C8)*5%</f>
        <v>3000</v>
      </c>
      <c r="E8" s="5"/>
      <c r="F8" s="22"/>
      <c r="G8" s="58"/>
    </row>
    <row r="9" ht="27.0" customHeight="1">
      <c r="A9" s="68"/>
      <c r="B9" s="63"/>
      <c r="C9" s="64">
        <v>0.0</v>
      </c>
      <c r="D9" s="65">
        <f>B9*C9</f>
        <v>0</v>
      </c>
      <c r="E9" s="5"/>
      <c r="F9" s="70"/>
      <c r="G9" s="71"/>
    </row>
    <row r="10">
      <c r="A10" s="3" t="s">
        <v>13</v>
      </c>
      <c r="B10" s="2"/>
      <c r="C10" s="19"/>
      <c r="D10" s="40">
        <f>SUM(D3:D9)</f>
        <v>21836</v>
      </c>
      <c r="E10" s="5"/>
      <c r="F10" s="5"/>
    </row>
    <row r="11">
      <c r="A11" s="5"/>
      <c r="B11" s="5"/>
      <c r="C11" s="72"/>
      <c r="D11" s="73"/>
      <c r="E11" s="5"/>
      <c r="F11" s="59"/>
      <c r="G11" s="59"/>
    </row>
    <row r="12" ht="18.0" customHeight="1">
      <c r="A12" s="75" t="s">
        <v>41</v>
      </c>
      <c r="B12" s="75"/>
      <c r="C12" s="75"/>
      <c r="D12" s="75"/>
      <c r="E12" s="53"/>
      <c r="F12" s="61"/>
      <c r="G12" s="58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</row>
    <row r="13">
      <c r="A13" s="76" t="s">
        <v>42</v>
      </c>
      <c r="B13" s="76" t="s">
        <v>43</v>
      </c>
      <c r="C13" s="76" t="s">
        <v>44</v>
      </c>
      <c r="D13" s="76" t="s">
        <v>45</v>
      </c>
      <c r="E13" s="5"/>
      <c r="F13" s="22"/>
      <c r="G13" s="58"/>
    </row>
    <row r="14">
      <c r="A14" s="22"/>
      <c r="B14" s="78"/>
      <c r="C14" s="38"/>
      <c r="D14" s="38">
        <v>0.0</v>
      </c>
      <c r="E14" s="5"/>
      <c r="F14" s="22"/>
      <c r="G14" s="58"/>
    </row>
    <row r="15">
      <c r="A15" s="22"/>
      <c r="B15" s="78"/>
      <c r="C15" s="38"/>
      <c r="D15" s="38">
        <v>0.0</v>
      </c>
      <c r="E15" s="5"/>
      <c r="F15" s="22"/>
      <c r="G15" s="58"/>
    </row>
    <row r="16">
      <c r="A16" s="22"/>
      <c r="B16" s="78"/>
      <c r="C16" s="38"/>
      <c r="D16" s="38">
        <f>B16*C16</f>
        <v>0</v>
      </c>
      <c r="E16" s="5"/>
      <c r="F16" s="11"/>
      <c r="G16" s="58"/>
    </row>
    <row r="17">
      <c r="A17" s="22"/>
      <c r="B17" s="78"/>
      <c r="C17" s="38"/>
      <c r="D17" s="38" t="str">
        <f>C17</f>
        <v/>
      </c>
      <c r="E17" s="5"/>
      <c r="F17" s="5"/>
      <c r="G17" s="62"/>
    </row>
    <row r="18">
      <c r="A18" s="80" t="s">
        <v>13</v>
      </c>
      <c r="B18" s="82"/>
      <c r="C18" s="83"/>
      <c r="D18" s="40" t="str">
        <f>SUM(D14:D19)</f>
        <v>#REF!</v>
      </c>
      <c r="E18" s="5"/>
      <c r="F18" s="84"/>
      <c r="G18" s="86"/>
    </row>
    <row r="19">
      <c r="E19" s="5"/>
    </row>
    <row r="20">
      <c r="A20" s="75" t="s">
        <v>48</v>
      </c>
      <c r="B20" s="75"/>
      <c r="C20" s="75"/>
      <c r="D20" s="75"/>
      <c r="E20" s="5"/>
    </row>
    <row r="21" ht="15.75" customHeight="1">
      <c r="A21" s="52" t="s">
        <v>25</v>
      </c>
      <c r="B21" s="70" t="s">
        <v>49</v>
      </c>
      <c r="C21" s="70" t="s">
        <v>50</v>
      </c>
      <c r="D21" s="52" t="s">
        <v>51</v>
      </c>
      <c r="E21" s="5"/>
      <c r="H21" s="62"/>
    </row>
    <row r="22" ht="15.75" customHeight="1">
      <c r="A22" s="22"/>
      <c r="B22" s="22"/>
      <c r="C22" s="88"/>
      <c r="D22" s="38"/>
      <c r="E22" s="5"/>
      <c r="H22" s="62"/>
    </row>
    <row r="23" ht="15.75" customHeight="1">
      <c r="A23" s="22"/>
      <c r="B23" s="22"/>
      <c r="C23" s="88"/>
      <c r="D23" s="38"/>
      <c r="E23" s="5"/>
      <c r="F23" s="89"/>
      <c r="G23" s="90"/>
      <c r="H23" s="62"/>
    </row>
    <row r="24" ht="15.75" customHeight="1">
      <c r="A24" s="22"/>
      <c r="B24" s="22"/>
      <c r="C24" s="88"/>
      <c r="D24" s="38"/>
      <c r="E24" s="5"/>
      <c r="F24" s="5"/>
      <c r="G24" s="62"/>
      <c r="H24" s="62"/>
    </row>
    <row r="25" ht="15.75" customHeight="1">
      <c r="A25" s="22"/>
      <c r="B25" s="22"/>
      <c r="C25" s="88"/>
      <c r="D25" s="38"/>
      <c r="E25" s="5"/>
      <c r="F25" s="91"/>
      <c r="G25" s="86"/>
      <c r="H25" s="62"/>
    </row>
    <row r="26" ht="15.75" customHeight="1">
      <c r="A26" s="22"/>
      <c r="B26" s="22"/>
      <c r="C26" s="88"/>
      <c r="D26" s="38"/>
      <c r="E26" s="5"/>
      <c r="F26" s="5"/>
      <c r="G26" s="62"/>
      <c r="H26" s="62"/>
    </row>
    <row r="27" ht="15.75" customHeight="1">
      <c r="A27" s="22"/>
      <c r="B27" s="22"/>
      <c r="C27" s="88"/>
      <c r="D27" s="38">
        <f>B27*C27</f>
        <v>0</v>
      </c>
      <c r="E27" s="5"/>
      <c r="F27" s="84"/>
      <c r="G27" s="84"/>
    </row>
    <row r="28" ht="15.75" customHeight="1">
      <c r="A28" s="80" t="s">
        <v>13</v>
      </c>
      <c r="B28" s="82"/>
      <c r="C28" s="83"/>
      <c r="D28" s="39">
        <f>SUM(D22:D27)</f>
        <v>0</v>
      </c>
      <c r="E28" s="5"/>
    </row>
    <row r="29" ht="15.75" customHeight="1">
      <c r="E29" s="5"/>
    </row>
    <row r="30" ht="15.75" customHeight="1">
      <c r="A30" s="75" t="s">
        <v>52</v>
      </c>
      <c r="B30" s="75"/>
      <c r="C30" s="75"/>
      <c r="D30" s="75"/>
      <c r="E30" s="5"/>
    </row>
    <row r="31" ht="15.75" customHeight="1">
      <c r="A31" s="52" t="s">
        <v>3</v>
      </c>
      <c r="B31" s="70" t="s">
        <v>53</v>
      </c>
      <c r="C31" s="70" t="s">
        <v>54</v>
      </c>
      <c r="D31" s="52" t="s">
        <v>55</v>
      </c>
      <c r="E31" s="5"/>
    </row>
    <row r="32" ht="15.75" customHeight="1">
      <c r="A32" s="22" t="s">
        <v>56</v>
      </c>
      <c r="B32" s="92">
        <v>0.19</v>
      </c>
      <c r="C32" s="93">
        <f>(D10)</f>
        <v>21836</v>
      </c>
      <c r="D32" s="38">
        <f>(B32*C32)</f>
        <v>4148.84</v>
      </c>
      <c r="E32" s="5"/>
    </row>
    <row r="33" ht="15.75" customHeight="1">
      <c r="A33" s="22" t="s">
        <v>57</v>
      </c>
      <c r="B33" s="92">
        <v>0.05</v>
      </c>
      <c r="C33" s="23">
        <f>D10*0.3</f>
        <v>6550.8</v>
      </c>
      <c r="D33" s="38">
        <f>C33*B33</f>
        <v>327.54</v>
      </c>
      <c r="E33" s="5"/>
    </row>
    <row r="34" ht="15.75" customHeight="1">
      <c r="A34" s="80"/>
      <c r="B34" s="82"/>
      <c r="C34" s="83"/>
      <c r="D34" s="40">
        <f>SUM(D32:D33)</f>
        <v>4476.38</v>
      </c>
      <c r="E34" s="5"/>
    </row>
    <row r="35" ht="15.75" customHeight="1">
      <c r="D35" s="34"/>
      <c r="E35" s="5"/>
    </row>
    <row r="36" ht="15.75" customHeight="1">
      <c r="E36" s="5"/>
    </row>
    <row r="37" ht="15.75" customHeight="1">
      <c r="E37" s="5"/>
    </row>
    <row r="38" ht="15.75" customHeight="1">
      <c r="E38" s="5"/>
    </row>
    <row r="39" ht="15.75" customHeight="1">
      <c r="E39" s="5"/>
    </row>
    <row r="40" ht="15.75" customHeight="1">
      <c r="E40" s="5"/>
    </row>
    <row r="41" ht="15.75" customHeight="1">
      <c r="E41" s="5"/>
    </row>
    <row r="42" ht="15.75" customHeight="1">
      <c r="E42" s="5"/>
    </row>
    <row r="43" ht="15.75" customHeight="1">
      <c r="A43" s="5"/>
      <c r="B43" s="94"/>
      <c r="C43" s="73"/>
      <c r="D43" s="73"/>
      <c r="E43" s="5"/>
    </row>
    <row r="44" ht="15.75" customHeight="1">
      <c r="A44" s="5"/>
      <c r="B44" s="94"/>
      <c r="C44" s="73"/>
      <c r="D44" s="73"/>
      <c r="E44" s="5"/>
    </row>
    <row r="45" ht="15.75" customHeight="1">
      <c r="A45" s="5"/>
      <c r="B45" s="94"/>
      <c r="C45" s="73"/>
      <c r="D45" s="73"/>
      <c r="E45" s="5"/>
    </row>
    <row r="46" ht="15.75" customHeight="1">
      <c r="A46" s="5"/>
      <c r="B46" s="94"/>
      <c r="C46" s="73"/>
      <c r="D46" s="73"/>
      <c r="E46" s="5"/>
    </row>
    <row r="47" ht="15.75" customHeight="1">
      <c r="A47" s="5"/>
      <c r="B47" s="94"/>
      <c r="C47" s="73"/>
      <c r="D47" s="73"/>
      <c r="E47" s="5"/>
    </row>
    <row r="48" ht="15.75" customHeight="1">
      <c r="A48" s="5"/>
      <c r="B48" s="94"/>
      <c r="C48" s="73"/>
      <c r="D48" s="34"/>
      <c r="E48" s="5"/>
    </row>
    <row r="49" ht="15.75" customHeight="1">
      <c r="A49" s="5"/>
      <c r="B49" s="94"/>
      <c r="C49" s="73"/>
      <c r="D49" s="34"/>
      <c r="E49" s="5"/>
    </row>
    <row r="50" ht="15.75" customHeight="1">
      <c r="A50" s="5"/>
      <c r="B50" s="94"/>
      <c r="C50" s="73"/>
      <c r="D50" s="34"/>
      <c r="E50" s="5"/>
    </row>
    <row r="51" ht="15.75" customHeight="1">
      <c r="A51" s="5"/>
      <c r="B51" s="94"/>
      <c r="C51" s="73"/>
      <c r="D51" s="34"/>
      <c r="E51" s="5"/>
    </row>
    <row r="52" ht="15.75" customHeight="1">
      <c r="A52" s="89"/>
      <c r="D52" s="72"/>
      <c r="E52" s="5"/>
    </row>
    <row r="53" ht="15.75" customHeight="1">
      <c r="E53" s="5"/>
    </row>
    <row r="54" ht="15.75" customHeight="1">
      <c r="E54" s="5"/>
    </row>
    <row r="55" ht="15.75" customHeight="1">
      <c r="E55" s="5"/>
    </row>
    <row r="56" ht="15.75" customHeight="1">
      <c r="E56" s="5"/>
    </row>
    <row r="57" ht="15.75" customHeight="1">
      <c r="E57" s="5"/>
    </row>
    <row r="58" ht="15.75" customHeight="1">
      <c r="E58" s="5"/>
    </row>
    <row r="59" ht="15.75" customHeight="1">
      <c r="E59" s="5"/>
    </row>
    <row r="60" ht="15.75" customHeight="1">
      <c r="E60" s="5"/>
    </row>
    <row r="61" ht="15.75" customHeight="1">
      <c r="E61" s="5"/>
    </row>
    <row r="62" ht="15.75" customHeight="1">
      <c r="E62" s="5"/>
    </row>
    <row r="63" ht="15.75" customHeight="1">
      <c r="E63" s="5"/>
    </row>
    <row r="64" ht="15.75" customHeight="1">
      <c r="E64" s="5"/>
    </row>
    <row r="65" ht="15.75" customHeight="1">
      <c r="E65" s="5"/>
    </row>
    <row r="66" ht="15.75" customHeight="1">
      <c r="E66" s="5"/>
    </row>
    <row r="67" ht="15.75" customHeight="1">
      <c r="E67" s="5"/>
    </row>
    <row r="68" ht="15.75" customHeight="1">
      <c r="E68" s="5"/>
    </row>
    <row r="69" ht="15.75" customHeight="1">
      <c r="E69" s="5"/>
    </row>
    <row r="70" ht="15.75" customHeight="1">
      <c r="E70" s="5"/>
    </row>
    <row r="71" ht="15.75" customHeight="1">
      <c r="E71" s="5"/>
    </row>
    <row r="72" ht="15.75" customHeight="1">
      <c r="E72" s="5"/>
    </row>
    <row r="73" ht="15.75" customHeight="1">
      <c r="E73" s="5"/>
    </row>
    <row r="74" ht="15.75" customHeight="1">
      <c r="E74" s="5"/>
    </row>
    <row r="75" ht="15.75" customHeight="1">
      <c r="E75" s="5"/>
    </row>
    <row r="76" ht="15.75" customHeight="1">
      <c r="E76" s="5"/>
    </row>
    <row r="77" ht="15.75" customHeight="1">
      <c r="E77" s="5"/>
    </row>
    <row r="78" ht="15.75" customHeight="1">
      <c r="E78" s="5"/>
    </row>
    <row r="79" ht="15.75" customHeight="1">
      <c r="E79" s="5"/>
    </row>
    <row r="80" ht="15.75" customHeight="1">
      <c r="E80" s="5"/>
    </row>
    <row r="81" ht="15.75" customHeight="1">
      <c r="E81" s="5"/>
    </row>
    <row r="82" ht="15.75" customHeight="1">
      <c r="E82" s="5"/>
    </row>
    <row r="83" ht="15.75" customHeight="1">
      <c r="E83" s="5"/>
    </row>
    <row r="84" ht="15.75" customHeight="1">
      <c r="E84" s="97"/>
    </row>
    <row r="85" ht="15.75" customHeight="1">
      <c r="E85" s="97"/>
    </row>
    <row r="86" ht="15.75" customHeight="1">
      <c r="E86" s="97"/>
    </row>
    <row r="87" ht="15.75" customHeight="1">
      <c r="E87" s="99"/>
    </row>
    <row r="88" ht="15.75" customHeight="1">
      <c r="E88" s="99"/>
    </row>
    <row r="89" ht="15.75" customHeight="1">
      <c r="E89" s="99"/>
    </row>
    <row r="90" ht="15.75" customHeight="1">
      <c r="E90" s="99"/>
    </row>
    <row r="91" ht="15.75" customHeight="1">
      <c r="E91" s="99"/>
    </row>
    <row r="92" ht="15.75" customHeight="1">
      <c r="E92" s="99"/>
    </row>
    <row r="93" ht="15.75" customHeight="1">
      <c r="E93" s="99"/>
    </row>
    <row r="94" ht="15.75" customHeight="1">
      <c r="E94" s="99"/>
    </row>
    <row r="95" ht="15.75" customHeight="1">
      <c r="E95" s="99"/>
    </row>
    <row r="96" ht="15.75" customHeight="1">
      <c r="E96" s="99"/>
    </row>
    <row r="97" ht="15.75" customHeight="1">
      <c r="E97" s="99"/>
    </row>
    <row r="98" ht="15.75" customHeight="1">
      <c r="E98" s="99"/>
    </row>
    <row r="99" ht="15.75" customHeight="1">
      <c r="E99" s="99"/>
    </row>
    <row r="100" ht="15.75" customHeight="1">
      <c r="E100" s="99"/>
    </row>
    <row r="101" ht="15.75" customHeight="1">
      <c r="E101" s="99"/>
    </row>
    <row r="102" ht="15.75" customHeight="1">
      <c r="E102" s="99"/>
    </row>
    <row r="103" ht="15.75" customHeight="1">
      <c r="E103" s="99"/>
    </row>
    <row r="104" ht="15.75" customHeight="1">
      <c r="E104" s="99"/>
    </row>
    <row r="105" ht="15.75" customHeight="1">
      <c r="E105" s="99"/>
    </row>
    <row r="106" ht="15.75" customHeight="1">
      <c r="E106" s="99"/>
    </row>
    <row r="107" ht="15.75" customHeight="1">
      <c r="E107" s="99"/>
    </row>
    <row r="108" ht="15.75" customHeight="1">
      <c r="E108" s="99"/>
    </row>
    <row r="109" ht="15.75" customHeight="1">
      <c r="E109" s="99"/>
    </row>
    <row r="110" ht="15.75" customHeight="1">
      <c r="E110" s="99"/>
    </row>
    <row r="111" ht="15.75" customHeight="1">
      <c r="E111" s="99"/>
    </row>
    <row r="112" ht="15.75" customHeight="1">
      <c r="E112" s="99"/>
    </row>
    <row r="113" ht="15.75" customHeight="1">
      <c r="E113" s="99"/>
    </row>
    <row r="114" ht="15.75" customHeight="1">
      <c r="E114" s="99"/>
    </row>
    <row r="115" ht="15.75" customHeight="1">
      <c r="E115" s="99"/>
    </row>
    <row r="116" ht="15.75" customHeight="1">
      <c r="E116" s="99"/>
    </row>
    <row r="117" ht="15.75" customHeight="1">
      <c r="E117" s="99"/>
    </row>
    <row r="118" ht="15.75" customHeight="1">
      <c r="E118" s="99"/>
    </row>
    <row r="119" ht="15.75" customHeight="1">
      <c r="E119" s="99"/>
    </row>
    <row r="120" ht="15.75" customHeight="1">
      <c r="E120" s="99"/>
    </row>
    <row r="121" ht="15.75" customHeight="1">
      <c r="E121" s="99"/>
    </row>
    <row r="122" ht="15.75" customHeight="1">
      <c r="E122" s="99"/>
    </row>
    <row r="123" ht="15.75" customHeight="1">
      <c r="E123" s="99"/>
    </row>
    <row r="124" ht="15.75" customHeight="1">
      <c r="E124" s="99"/>
    </row>
    <row r="125" ht="15.75" customHeight="1">
      <c r="E125" s="99"/>
    </row>
    <row r="126" ht="15.75" customHeight="1">
      <c r="E126" s="99"/>
    </row>
    <row r="127" ht="15.75" customHeight="1">
      <c r="E127" s="99"/>
    </row>
    <row r="128" ht="15.75" customHeight="1">
      <c r="E128" s="99"/>
    </row>
    <row r="129" ht="15.75" customHeight="1">
      <c r="E129" s="99"/>
    </row>
    <row r="130" ht="15.75" customHeight="1">
      <c r="E130" s="99"/>
    </row>
    <row r="131" ht="15.75" customHeight="1">
      <c r="E131" s="99"/>
    </row>
    <row r="132" ht="15.75" customHeight="1">
      <c r="E132" s="99"/>
    </row>
    <row r="133" ht="15.75" customHeight="1">
      <c r="E133" s="99"/>
    </row>
    <row r="134" ht="15.75" customHeight="1">
      <c r="E134" s="99"/>
    </row>
    <row r="135" ht="15.75" customHeight="1">
      <c r="E135" s="99"/>
    </row>
    <row r="136" ht="15.75" customHeight="1">
      <c r="E136" s="99"/>
    </row>
    <row r="137" ht="15.75" customHeight="1">
      <c r="E137" s="99"/>
    </row>
    <row r="138" ht="15.75" customHeight="1">
      <c r="E138" s="99"/>
    </row>
    <row r="139" ht="15.75" customHeight="1">
      <c r="E139" s="99"/>
    </row>
    <row r="140" ht="15.75" customHeight="1">
      <c r="E140" s="99"/>
    </row>
    <row r="141" ht="15.75" customHeight="1">
      <c r="E141" s="99"/>
    </row>
    <row r="142" ht="15.75" customHeight="1">
      <c r="E142" s="99"/>
    </row>
    <row r="143" ht="15.75" customHeight="1">
      <c r="E143" s="99"/>
    </row>
    <row r="144" ht="15.75" customHeight="1">
      <c r="E144" s="99"/>
    </row>
    <row r="145" ht="15.75" customHeight="1">
      <c r="E145" s="99"/>
    </row>
    <row r="146" ht="15.75" customHeight="1">
      <c r="E146" s="99"/>
    </row>
    <row r="147" ht="15.75" customHeight="1">
      <c r="E147" s="99"/>
    </row>
    <row r="148" ht="15.75" customHeight="1">
      <c r="E148" s="99"/>
    </row>
    <row r="149" ht="15.75" customHeight="1">
      <c r="E149" s="99"/>
    </row>
    <row r="150" ht="15.75" customHeight="1">
      <c r="E150" s="99"/>
    </row>
    <row r="151" ht="15.75" customHeight="1">
      <c r="E151" s="99"/>
    </row>
    <row r="152" ht="15.75" customHeight="1">
      <c r="E152" s="99"/>
    </row>
    <row r="153" ht="15.75" customHeight="1">
      <c r="E153" s="99"/>
    </row>
    <row r="154" ht="15.75" customHeight="1">
      <c r="E154" s="99"/>
    </row>
    <row r="155" ht="15.75" customHeight="1">
      <c r="E155" s="99"/>
    </row>
    <row r="156" ht="15.75" customHeight="1">
      <c r="E156" s="99"/>
    </row>
    <row r="157" ht="15.75" customHeight="1">
      <c r="E157" s="99"/>
    </row>
    <row r="158" ht="15.75" customHeight="1">
      <c r="E158" s="99"/>
    </row>
    <row r="159" ht="15.75" customHeight="1">
      <c r="E159" s="99"/>
    </row>
    <row r="160" ht="15.75" customHeight="1">
      <c r="E160" s="99"/>
    </row>
    <row r="161" ht="15.75" customHeight="1">
      <c r="E161" s="99"/>
    </row>
    <row r="162" ht="15.75" customHeight="1">
      <c r="E162" s="99"/>
    </row>
    <row r="163" ht="15.75" customHeight="1">
      <c r="E163" s="99"/>
    </row>
    <row r="164" ht="15.75" customHeight="1">
      <c r="E164" s="99"/>
    </row>
    <row r="165" ht="15.75" customHeight="1">
      <c r="E165" s="99"/>
    </row>
    <row r="166" ht="15.75" customHeight="1">
      <c r="E166" s="99"/>
    </row>
    <row r="167" ht="15.75" customHeight="1">
      <c r="E167" s="99"/>
    </row>
    <row r="168" ht="15.75" customHeight="1">
      <c r="E168" s="99"/>
    </row>
    <row r="169" ht="15.75" customHeight="1">
      <c r="E169" s="99"/>
    </row>
    <row r="170" ht="15.75" customHeight="1">
      <c r="E170" s="99"/>
    </row>
    <row r="171" ht="15.75" customHeight="1">
      <c r="E171" s="99"/>
    </row>
    <row r="172" ht="15.75" customHeight="1">
      <c r="E172" s="99"/>
    </row>
    <row r="173" ht="15.75" customHeight="1">
      <c r="E173" s="99"/>
    </row>
    <row r="174" ht="15.75" customHeight="1">
      <c r="E174" s="99"/>
    </row>
    <row r="175" ht="15.75" customHeight="1">
      <c r="E175" s="99"/>
    </row>
    <row r="176" ht="15.75" customHeight="1">
      <c r="E176" s="99"/>
    </row>
    <row r="177" ht="15.75" customHeight="1">
      <c r="E177" s="99"/>
    </row>
    <row r="178" ht="15.75" customHeight="1">
      <c r="E178" s="99"/>
    </row>
    <row r="179" ht="15.75" customHeight="1">
      <c r="E179" s="99"/>
    </row>
    <row r="180" ht="15.75" customHeight="1">
      <c r="E180" s="99"/>
    </row>
    <row r="181" ht="15.75" customHeight="1">
      <c r="E181" s="99"/>
    </row>
    <row r="182" ht="15.75" customHeight="1">
      <c r="E182" s="99"/>
    </row>
    <row r="183" ht="15.75" customHeight="1">
      <c r="E183" s="99"/>
    </row>
    <row r="184" ht="15.75" customHeight="1">
      <c r="E184" s="99"/>
    </row>
    <row r="185" ht="15.75" customHeight="1">
      <c r="E185" s="99"/>
    </row>
    <row r="186" ht="15.75" customHeight="1">
      <c r="E186" s="99"/>
    </row>
    <row r="187" ht="15.75" customHeight="1">
      <c r="E187" s="99"/>
    </row>
    <row r="188" ht="15.75" customHeight="1">
      <c r="E188" s="99"/>
    </row>
    <row r="189" ht="15.75" customHeight="1">
      <c r="E189" s="99"/>
    </row>
    <row r="190" ht="15.75" customHeight="1">
      <c r="E190" s="99"/>
    </row>
    <row r="191" ht="15.75" customHeight="1">
      <c r="E191" s="99"/>
    </row>
    <row r="192" ht="15.75" customHeight="1">
      <c r="E192" s="99"/>
    </row>
    <row r="193" ht="15.75" customHeight="1">
      <c r="E193" s="99"/>
    </row>
    <row r="194" ht="15.75" customHeight="1">
      <c r="E194" s="99"/>
    </row>
    <row r="195" ht="15.75" customHeight="1">
      <c r="E195" s="99"/>
    </row>
    <row r="196" ht="15.75" customHeight="1">
      <c r="E196" s="99"/>
    </row>
    <row r="197" ht="15.75" customHeight="1">
      <c r="E197" s="99"/>
    </row>
    <row r="198" ht="15.75" customHeight="1">
      <c r="E198" s="99"/>
    </row>
    <row r="199" ht="15.75" customHeight="1">
      <c r="E199" s="99"/>
    </row>
    <row r="200" ht="15.75" customHeight="1">
      <c r="E200" s="99"/>
    </row>
    <row r="201" ht="15.75" customHeight="1">
      <c r="E201" s="99"/>
    </row>
    <row r="202" ht="15.75" customHeight="1">
      <c r="E202" s="99"/>
    </row>
    <row r="203" ht="15.75" customHeight="1">
      <c r="E203" s="99"/>
    </row>
    <row r="204" ht="15.75" customHeight="1">
      <c r="E204" s="99"/>
    </row>
    <row r="205" ht="15.75" customHeight="1">
      <c r="E205" s="99"/>
    </row>
    <row r="206" ht="15.75" customHeight="1">
      <c r="E206" s="99"/>
    </row>
    <row r="207" ht="15.75" customHeight="1">
      <c r="E207" s="99"/>
    </row>
    <row r="208" ht="15.75" customHeight="1">
      <c r="E208" s="99"/>
    </row>
    <row r="209" ht="15.75" customHeight="1">
      <c r="E209" s="99"/>
    </row>
    <row r="210" ht="15.75" customHeight="1">
      <c r="E210" s="99"/>
    </row>
    <row r="211" ht="15.75" customHeight="1">
      <c r="E211" s="99"/>
    </row>
    <row r="212" ht="15.75" customHeight="1">
      <c r="E212" s="99"/>
    </row>
    <row r="213" ht="15.75" customHeight="1">
      <c r="E213" s="99"/>
    </row>
    <row r="214" ht="15.75" customHeight="1">
      <c r="E214" s="99"/>
    </row>
    <row r="215" ht="15.75" customHeight="1">
      <c r="E215" s="99"/>
    </row>
    <row r="216" ht="15.75" customHeight="1">
      <c r="E216" s="99"/>
    </row>
    <row r="217" ht="15.75" customHeight="1">
      <c r="E217" s="99"/>
    </row>
    <row r="218" ht="15.75" customHeight="1">
      <c r="E218" s="99"/>
    </row>
    <row r="219" ht="15.75" customHeight="1">
      <c r="E219" s="99"/>
    </row>
    <row r="220" ht="15.75" customHeight="1">
      <c r="E220" s="99"/>
    </row>
    <row r="221" ht="15.75" customHeight="1">
      <c r="E221" s="99"/>
    </row>
    <row r="222" ht="15.75" customHeight="1">
      <c r="E222" s="99"/>
    </row>
    <row r="223" ht="15.75" customHeight="1">
      <c r="E223" s="99"/>
    </row>
    <row r="224" ht="15.75" customHeight="1">
      <c r="E224" s="99"/>
    </row>
    <row r="225" ht="15.75" customHeight="1">
      <c r="E225" s="99"/>
    </row>
    <row r="226" ht="15.75" customHeight="1">
      <c r="E226" s="99"/>
    </row>
    <row r="227" ht="15.75" customHeight="1">
      <c r="E227" s="99"/>
    </row>
    <row r="228" ht="15.75" customHeight="1">
      <c r="E228" s="99"/>
    </row>
    <row r="229" ht="15.75" customHeight="1">
      <c r="E229" s="99"/>
    </row>
    <row r="230" ht="15.75" customHeight="1">
      <c r="E230" s="99"/>
    </row>
    <row r="231" ht="15.75" customHeight="1">
      <c r="E231" s="99"/>
    </row>
    <row r="232" ht="15.75" customHeight="1">
      <c r="E232" s="99"/>
    </row>
    <row r="233" ht="15.75" customHeight="1">
      <c r="E233" s="99"/>
    </row>
    <row r="234" ht="15.75" customHeight="1">
      <c r="E234" s="99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C1"/>
    <mergeCell ref="A10:C10"/>
    <mergeCell ref="A18:C18"/>
    <mergeCell ref="A28:C28"/>
    <mergeCell ref="A34:C34"/>
    <mergeCell ref="A52:C52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7.75"/>
    <col customWidth="1" min="2" max="2" width="21.25"/>
    <col customWidth="1" min="3" max="3" width="18.25"/>
    <col customWidth="1" min="4" max="4" width="17.88"/>
    <col customWidth="1" min="5" max="5" width="26.0"/>
    <col customWidth="1" min="6" max="6" width="21.13"/>
    <col customWidth="1" min="7" max="7" width="20.25"/>
    <col customWidth="1" min="8" max="8" width="23.0"/>
    <col customWidth="1" min="9" max="9" width="2.38"/>
    <col customWidth="1" min="10" max="26" width="14.38"/>
  </cols>
  <sheetData>
    <row r="1">
      <c r="A1" s="3" t="s">
        <v>58</v>
      </c>
      <c r="B1" s="2"/>
      <c r="C1" s="2"/>
      <c r="D1" s="2"/>
      <c r="E1" s="2"/>
      <c r="F1" s="2"/>
      <c r="G1" s="2"/>
      <c r="H1" s="19"/>
      <c r="I1" s="5"/>
    </row>
    <row r="2" ht="16.5" customHeight="1">
      <c r="A2" s="52" t="s">
        <v>59</v>
      </c>
      <c r="B2" s="70" t="s">
        <v>60</v>
      </c>
      <c r="C2" s="70" t="s">
        <v>61</v>
      </c>
      <c r="D2" s="52" t="s">
        <v>62</v>
      </c>
      <c r="E2" s="76" t="s">
        <v>63</v>
      </c>
      <c r="F2" s="76" t="s">
        <v>64</v>
      </c>
      <c r="G2" s="76" t="s">
        <v>65</v>
      </c>
      <c r="H2" s="76" t="s">
        <v>13</v>
      </c>
      <c r="I2" s="5"/>
    </row>
    <row r="3" ht="16.5" customHeight="1">
      <c r="A3" s="78" t="s">
        <v>66</v>
      </c>
      <c r="B3" s="78">
        <v>0.0</v>
      </c>
      <c r="C3" s="95">
        <v>980.0</v>
      </c>
      <c r="D3" s="56">
        <f t="shared" ref="D3:D4" si="1">B3*C3</f>
        <v>0</v>
      </c>
      <c r="E3" s="96">
        <v>0.4</v>
      </c>
      <c r="F3" s="56">
        <f t="shared" ref="F3:F4" si="2">D3*E3</f>
        <v>0</v>
      </c>
      <c r="G3" s="56">
        <v>500.0</v>
      </c>
      <c r="H3" s="56">
        <f t="shared" ref="H3:H4" si="3">(D3+F3)+(G3*B3)</f>
        <v>0</v>
      </c>
      <c r="I3" s="5"/>
    </row>
    <row r="4" ht="16.5" customHeight="1">
      <c r="A4" s="78" t="s">
        <v>69</v>
      </c>
      <c r="B4" s="78">
        <v>5.0</v>
      </c>
      <c r="C4" s="95">
        <v>1500.0</v>
      </c>
      <c r="D4" s="56">
        <f t="shared" si="1"/>
        <v>7500</v>
      </c>
      <c r="E4" s="96">
        <v>0.2</v>
      </c>
      <c r="F4" s="56">
        <f t="shared" si="2"/>
        <v>1500</v>
      </c>
      <c r="G4" s="56">
        <v>300.0</v>
      </c>
      <c r="H4" s="56">
        <f t="shared" si="3"/>
        <v>10500</v>
      </c>
      <c r="I4" s="5"/>
    </row>
    <row r="5" ht="16.5" customHeight="1">
      <c r="A5" s="3" t="s">
        <v>71</v>
      </c>
      <c r="B5" s="2"/>
      <c r="C5" s="2"/>
      <c r="D5" s="2"/>
      <c r="E5" s="2"/>
      <c r="F5" s="2"/>
      <c r="G5" s="2"/>
      <c r="H5" s="40">
        <f>SUM(H3:H4)</f>
        <v>10500</v>
      </c>
      <c r="I5" s="5"/>
    </row>
    <row r="6" ht="16.5" customHeight="1">
      <c r="A6" s="94"/>
      <c r="B6" s="94"/>
      <c r="C6" s="101"/>
      <c r="D6" s="102"/>
      <c r="E6" s="103"/>
      <c r="F6" s="102"/>
      <c r="G6" s="102"/>
      <c r="H6" s="102"/>
      <c r="I6" s="5"/>
    </row>
    <row r="7">
      <c r="A7" s="3" t="s">
        <v>73</v>
      </c>
      <c r="B7" s="2"/>
      <c r="C7" s="2"/>
      <c r="D7" s="2"/>
      <c r="E7" s="2"/>
      <c r="F7" s="2"/>
      <c r="G7" s="2"/>
      <c r="H7" s="19"/>
      <c r="I7" s="5"/>
    </row>
    <row r="8">
      <c r="A8" s="106" t="s">
        <v>75</v>
      </c>
      <c r="B8" s="107" t="s">
        <v>76</v>
      </c>
      <c r="C8" s="108" t="s">
        <v>77</v>
      </c>
      <c r="D8" s="108" t="s">
        <v>78</v>
      </c>
      <c r="E8" s="108" t="s">
        <v>79</v>
      </c>
      <c r="F8" s="107" t="s">
        <v>80</v>
      </c>
      <c r="G8" s="109" t="s">
        <v>81</v>
      </c>
      <c r="I8" s="5"/>
    </row>
    <row r="9">
      <c r="A9" s="22" t="str">
        <f>'Investimentos Fixos'!B5</f>
        <v>Computador (teclado, mouse e monitor incluso)</v>
      </c>
      <c r="B9" s="22">
        <f>'Investimentos Fixos'!C5</f>
        <v>5</v>
      </c>
      <c r="C9" s="88">
        <f>'Investimentos Fixos'!D5</f>
        <v>4000</v>
      </c>
      <c r="D9" s="114">
        <f t="shared" ref="D9:D12" si="4">B9*C9</f>
        <v>20000</v>
      </c>
      <c r="E9" s="115">
        <v>5.0</v>
      </c>
      <c r="F9" s="114">
        <f t="shared" ref="F9:F12" si="5">D9/E9</f>
        <v>4000</v>
      </c>
      <c r="G9" s="93">
        <f t="shared" ref="G9:G12" si="6">F9/12</f>
        <v>333.3333333</v>
      </c>
      <c r="I9" s="5"/>
    </row>
    <row r="10">
      <c r="A10" s="22" t="str">
        <f>'Investimentos Fixos'!B6</f>
        <v>Headsets para reuniões e suporte</v>
      </c>
      <c r="B10" s="22">
        <f>'Investimentos Fixos'!C6</f>
        <v>5</v>
      </c>
      <c r="C10" s="88">
        <f>'Investimentos Fixos'!D6</f>
        <v>300</v>
      </c>
      <c r="D10" s="114">
        <f t="shared" si="4"/>
        <v>1500</v>
      </c>
      <c r="E10" s="115">
        <v>4.0</v>
      </c>
      <c r="F10" s="114">
        <f t="shared" si="5"/>
        <v>375</v>
      </c>
      <c r="G10" s="93">
        <f t="shared" si="6"/>
        <v>31.25</v>
      </c>
      <c r="I10" s="5"/>
    </row>
    <row r="11">
      <c r="A11" s="22" t="str">
        <f>'Investimentos Fixos'!B7</f>
        <v>Backup externo (SSD de segurança)</v>
      </c>
      <c r="B11" s="22">
        <f>'Investimentos Fixos'!C7</f>
        <v>2</v>
      </c>
      <c r="C11" s="88">
        <f>'Investimentos Fixos'!D7</f>
        <v>500</v>
      </c>
      <c r="D11" s="114">
        <f t="shared" si="4"/>
        <v>1000</v>
      </c>
      <c r="E11" s="115">
        <v>4.0</v>
      </c>
      <c r="F11" s="114">
        <f t="shared" si="5"/>
        <v>250</v>
      </c>
      <c r="G11" s="93">
        <f t="shared" si="6"/>
        <v>20.83333333</v>
      </c>
      <c r="I11" s="5"/>
    </row>
    <row r="12">
      <c r="A12" s="22" t="s">
        <v>92</v>
      </c>
      <c r="B12" s="22">
        <v>2.0</v>
      </c>
      <c r="C12" s="38" t="str">
        <f>'Investimentos Fixos'!D8</f>
        <v/>
      </c>
      <c r="D12" s="114">
        <f t="shared" si="4"/>
        <v>0</v>
      </c>
      <c r="E12" s="115">
        <v>5.0</v>
      </c>
      <c r="F12" s="114">
        <f t="shared" si="5"/>
        <v>0</v>
      </c>
      <c r="G12" s="93">
        <f t="shared" si="6"/>
        <v>0</v>
      </c>
      <c r="I12" s="5"/>
    </row>
    <row r="13">
      <c r="A13" s="22"/>
      <c r="B13" s="22"/>
      <c r="C13" s="38"/>
      <c r="D13" s="114"/>
      <c r="E13" s="115"/>
      <c r="F13" s="114"/>
      <c r="G13" s="93"/>
      <c r="I13" s="5"/>
    </row>
    <row r="14">
      <c r="A14" s="22"/>
      <c r="B14" s="22"/>
      <c r="C14" s="38"/>
      <c r="D14" s="114"/>
      <c r="E14" s="115"/>
      <c r="F14" s="114"/>
      <c r="G14" s="93"/>
      <c r="I14" s="5"/>
    </row>
    <row r="15">
      <c r="A15" s="22"/>
      <c r="B15" s="22"/>
      <c r="C15" s="38"/>
      <c r="D15" s="114"/>
      <c r="E15" s="115"/>
      <c r="F15" s="114"/>
      <c r="G15" s="93"/>
      <c r="I15" s="5"/>
    </row>
    <row r="16">
      <c r="A16" s="22"/>
      <c r="B16" s="22"/>
      <c r="C16" s="38"/>
      <c r="D16" s="114"/>
      <c r="E16" s="115"/>
      <c r="F16" s="114"/>
      <c r="G16" s="93"/>
      <c r="I16" s="5"/>
    </row>
    <row r="17">
      <c r="A17" s="22"/>
      <c r="B17" s="22"/>
      <c r="C17" s="38"/>
      <c r="D17" s="114"/>
      <c r="E17" s="115"/>
      <c r="F17" s="114"/>
      <c r="G17" s="93"/>
      <c r="I17" s="5"/>
    </row>
    <row r="18">
      <c r="A18" s="22"/>
      <c r="B18" s="22"/>
      <c r="C18" s="38"/>
      <c r="D18" s="114"/>
      <c r="E18" s="115"/>
      <c r="F18" s="114"/>
      <c r="G18" s="93"/>
      <c r="I18" s="5"/>
    </row>
    <row r="19">
      <c r="A19" s="22"/>
      <c r="B19" s="22"/>
      <c r="C19" s="38"/>
      <c r="D19" s="114"/>
      <c r="E19" s="115"/>
      <c r="F19" s="114"/>
      <c r="G19" s="93"/>
      <c r="I19" s="5"/>
    </row>
    <row r="20">
      <c r="A20" s="3" t="s">
        <v>96</v>
      </c>
      <c r="B20" s="2"/>
      <c r="C20" s="2"/>
      <c r="D20" s="2"/>
      <c r="E20" s="2"/>
      <c r="F20" s="2"/>
      <c r="G20" s="138">
        <f>SUM(G9:G19)</f>
        <v>385.4166667</v>
      </c>
      <c r="I20" s="5"/>
    </row>
    <row r="21" ht="15.75" customHeight="1">
      <c r="I21" s="5"/>
    </row>
    <row r="22" ht="15.75" customHeight="1">
      <c r="I22" s="5"/>
    </row>
    <row r="23" ht="15.75" customHeight="1">
      <c r="A23" s="3" t="s">
        <v>98</v>
      </c>
      <c r="B23" s="2"/>
      <c r="D23" s="140" t="s">
        <v>99</v>
      </c>
      <c r="E23" s="141"/>
      <c r="I23" s="5"/>
    </row>
    <row r="24" ht="15.75" customHeight="1">
      <c r="A24" s="76" t="s">
        <v>3</v>
      </c>
      <c r="B24" s="76" t="s">
        <v>100</v>
      </c>
      <c r="D24" s="144" t="s">
        <v>101</v>
      </c>
      <c r="E24" s="39">
        <f>FaturamentoXCustos!$D$34</f>
        <v>4476.38</v>
      </c>
      <c r="I24" s="5"/>
    </row>
    <row r="25" ht="15.75" customHeight="1">
      <c r="A25" s="22" t="s">
        <v>104</v>
      </c>
      <c r="B25" s="93"/>
      <c r="D25" s="144" t="s">
        <v>105</v>
      </c>
      <c r="E25" s="40">
        <f>B41</f>
        <v>12685.41667</v>
      </c>
      <c r="I25" s="5"/>
    </row>
    <row r="26" ht="15.75" customHeight="1">
      <c r="A26" s="22" t="s">
        <v>107</v>
      </c>
      <c r="B26" s="93"/>
      <c r="I26" s="5"/>
    </row>
    <row r="27" ht="15.75" customHeight="1">
      <c r="A27" s="22" t="s">
        <v>108</v>
      </c>
      <c r="B27" s="23"/>
      <c r="I27" s="5"/>
    </row>
    <row r="28" ht="15.75" customHeight="1">
      <c r="A28" s="22" t="s">
        <v>109</v>
      </c>
      <c r="B28" s="93"/>
      <c r="I28" s="5"/>
    </row>
    <row r="29" ht="15.75" customHeight="1">
      <c r="A29" s="22" t="s">
        <v>111</v>
      </c>
      <c r="B29" s="93">
        <v>100.0</v>
      </c>
      <c r="I29" s="5"/>
    </row>
    <row r="30" ht="15.75" customHeight="1">
      <c r="A30" s="22" t="s">
        <v>112</v>
      </c>
      <c r="B30" s="93">
        <v>200.0</v>
      </c>
      <c r="I30" s="5"/>
    </row>
    <row r="31" ht="15.75" customHeight="1">
      <c r="A31" s="22" t="s">
        <v>113</v>
      </c>
      <c r="B31" s="93">
        <v>100.0</v>
      </c>
      <c r="I31" s="5"/>
    </row>
    <row r="32" ht="15.75" customHeight="1">
      <c r="A32" s="11" t="s">
        <v>115</v>
      </c>
      <c r="B32" s="23">
        <f>H5</f>
        <v>10500</v>
      </c>
      <c r="I32" s="5"/>
    </row>
    <row r="33" ht="15.75" customHeight="1">
      <c r="A33" s="22" t="s">
        <v>116</v>
      </c>
      <c r="B33" s="93"/>
      <c r="I33" s="5"/>
    </row>
    <row r="34" ht="15.75" customHeight="1">
      <c r="A34" s="22" t="s">
        <v>117</v>
      </c>
      <c r="B34" s="93"/>
      <c r="I34" s="5"/>
    </row>
    <row r="35" ht="15.75" customHeight="1">
      <c r="A35" s="22" t="s">
        <v>118</v>
      </c>
      <c r="B35" s="93"/>
      <c r="I35" s="5"/>
    </row>
    <row r="36" ht="15.75" customHeight="1">
      <c r="A36" s="22" t="s">
        <v>119</v>
      </c>
      <c r="B36" s="93">
        <v>340.0</v>
      </c>
      <c r="I36" s="5"/>
    </row>
    <row r="37" ht="15.75" customHeight="1">
      <c r="A37" s="22" t="s">
        <v>120</v>
      </c>
      <c r="B37" s="93">
        <v>1000.0</v>
      </c>
      <c r="I37" s="5"/>
    </row>
    <row r="38" ht="15.75" customHeight="1">
      <c r="A38" s="22" t="s">
        <v>121</v>
      </c>
      <c r="B38" s="93"/>
      <c r="I38" s="5"/>
    </row>
    <row r="39" ht="15.75" customHeight="1">
      <c r="A39" s="22" t="s">
        <v>122</v>
      </c>
      <c r="B39" s="93">
        <v>60.0</v>
      </c>
      <c r="I39" s="5"/>
    </row>
    <row r="40" ht="15.75" customHeight="1">
      <c r="A40" s="11" t="s">
        <v>124</v>
      </c>
      <c r="B40" s="93">
        <f>G20</f>
        <v>385.4166667</v>
      </c>
      <c r="I40" s="5"/>
    </row>
    <row r="41" ht="15.75" customHeight="1">
      <c r="A41" s="153" t="s">
        <v>13</v>
      </c>
      <c r="B41" s="40">
        <f>SUM(B25:B40)</f>
        <v>12685.41667</v>
      </c>
      <c r="I41" s="5"/>
    </row>
    <row r="42" ht="15.75" customHeight="1">
      <c r="I42" s="5"/>
    </row>
    <row r="43" ht="15.75" customHeight="1">
      <c r="I43" s="5"/>
    </row>
    <row r="44" ht="15.75" customHeight="1">
      <c r="I44" s="5"/>
    </row>
    <row r="45" ht="15.75" customHeight="1">
      <c r="I45" s="5"/>
    </row>
    <row r="46" ht="15.75" customHeight="1">
      <c r="I46" s="5"/>
    </row>
    <row r="47" ht="15.75" customHeight="1">
      <c r="I47" s="5"/>
    </row>
    <row r="48" ht="15.75" customHeight="1">
      <c r="I48" s="5"/>
    </row>
    <row r="49" ht="15.75" customHeight="1">
      <c r="I49" s="5"/>
    </row>
    <row r="50" ht="15.75" customHeight="1">
      <c r="I50" s="5"/>
    </row>
    <row r="51" ht="15.75" customHeight="1">
      <c r="I51" s="5"/>
    </row>
    <row r="52" ht="15.75" customHeight="1">
      <c r="I52" s="5"/>
    </row>
    <row r="53" ht="15.75" customHeight="1">
      <c r="I53" s="5"/>
    </row>
    <row r="54" ht="15.75" customHeight="1">
      <c r="I54" s="5"/>
    </row>
    <row r="55" ht="15.75" customHeight="1">
      <c r="I55" s="5"/>
    </row>
    <row r="56" ht="15.75" customHeight="1">
      <c r="I56" s="5"/>
    </row>
    <row r="57" ht="15.75" customHeight="1">
      <c r="I57" s="5"/>
    </row>
    <row r="58" ht="15.75" customHeight="1">
      <c r="I58" s="5"/>
    </row>
    <row r="59" ht="15.75" customHeight="1">
      <c r="I59" s="5"/>
    </row>
    <row r="60" ht="15.75" customHeight="1">
      <c r="I60" s="5"/>
    </row>
    <row r="61" ht="15.75" customHeight="1">
      <c r="I61" s="5"/>
    </row>
    <row r="62" ht="15.75" customHeight="1">
      <c r="I62" s="5"/>
    </row>
    <row r="63" ht="15.75" customHeight="1">
      <c r="I63" s="5"/>
    </row>
    <row r="64" ht="15.75" customHeight="1">
      <c r="I64" s="5"/>
    </row>
    <row r="65" ht="15.75" customHeight="1">
      <c r="I65" s="5"/>
    </row>
    <row r="66" ht="15.75" customHeight="1">
      <c r="I66" s="5"/>
    </row>
    <row r="67" ht="15.75" customHeight="1">
      <c r="I67" s="5"/>
    </row>
    <row r="68" ht="15.75" customHeight="1">
      <c r="I68" s="5"/>
    </row>
    <row r="69" ht="15.75" customHeight="1">
      <c r="I69" s="5"/>
    </row>
    <row r="70" ht="15.75" customHeight="1">
      <c r="I70" s="5"/>
    </row>
    <row r="71" ht="15.75" customHeight="1">
      <c r="I71" s="5"/>
    </row>
    <row r="72" ht="15.75" customHeight="1">
      <c r="I72" s="5"/>
    </row>
    <row r="73" ht="15.75" customHeight="1">
      <c r="I73" s="5"/>
    </row>
    <row r="74" ht="15.75" customHeight="1">
      <c r="I74" s="5"/>
    </row>
    <row r="75" ht="15.75" customHeight="1">
      <c r="I75" s="5"/>
    </row>
    <row r="76" ht="15.75" customHeight="1">
      <c r="I76" s="5"/>
    </row>
    <row r="77" ht="15.75" customHeight="1">
      <c r="I77" s="5"/>
    </row>
    <row r="78" ht="15.75" customHeight="1">
      <c r="I78" s="5"/>
    </row>
    <row r="79" ht="15.75" customHeight="1">
      <c r="I79" s="5"/>
    </row>
    <row r="80" ht="15.75" customHeight="1">
      <c r="I80" s="5"/>
    </row>
    <row r="81" ht="15.75" customHeight="1">
      <c r="I81" s="5"/>
    </row>
    <row r="82" ht="15.75" customHeight="1">
      <c r="I82" s="5"/>
    </row>
    <row r="83" ht="15.75" customHeight="1">
      <c r="I83" s="5"/>
    </row>
    <row r="84" ht="15.75" customHeight="1">
      <c r="I84" s="5"/>
    </row>
    <row r="85" ht="15.75" customHeight="1">
      <c r="I85" s="5"/>
    </row>
    <row r="86" ht="15.75" customHeight="1">
      <c r="I86" s="5"/>
    </row>
    <row r="87" ht="15.75" customHeight="1">
      <c r="I87" s="5"/>
    </row>
    <row r="88" ht="15.75" customHeight="1">
      <c r="I88" s="5"/>
    </row>
    <row r="89" ht="15.75" customHeight="1">
      <c r="I89" s="5"/>
    </row>
    <row r="90" ht="15.75" customHeight="1">
      <c r="I90" s="5"/>
    </row>
    <row r="91" ht="15.75" customHeight="1">
      <c r="I91" s="5"/>
    </row>
    <row r="92" ht="15.75" customHeight="1">
      <c r="I92" s="5"/>
    </row>
    <row r="93" ht="15.75" customHeight="1">
      <c r="I93" s="5"/>
    </row>
    <row r="94" ht="15.75" customHeight="1">
      <c r="I94" s="5"/>
    </row>
    <row r="95" ht="15.75" customHeight="1">
      <c r="I95" s="5"/>
    </row>
    <row r="96" ht="15.75" customHeight="1">
      <c r="I96" s="5"/>
    </row>
    <row r="97" ht="15.75" customHeight="1">
      <c r="I97" s="5"/>
    </row>
    <row r="98" ht="15.75" customHeight="1">
      <c r="I98" s="5"/>
    </row>
    <row r="99" ht="15.75" customHeight="1">
      <c r="I99" s="5"/>
    </row>
    <row r="100" ht="15.75" customHeight="1">
      <c r="I100" s="5"/>
    </row>
    <row r="101" ht="15.75" customHeight="1">
      <c r="I101" s="5"/>
    </row>
    <row r="102" ht="15.75" customHeight="1">
      <c r="I102" s="5"/>
    </row>
    <row r="103" ht="15.75" customHeight="1">
      <c r="I103" s="5"/>
    </row>
    <row r="104" ht="15.75" customHeight="1">
      <c r="I104" s="5"/>
    </row>
    <row r="105" ht="15.75" customHeight="1">
      <c r="I105" s="5"/>
    </row>
    <row r="106" ht="15.75" customHeight="1">
      <c r="I106" s="5"/>
    </row>
    <row r="107" ht="15.75" customHeight="1">
      <c r="I107" s="5"/>
    </row>
    <row r="108" ht="15.75" customHeight="1">
      <c r="I108" s="5"/>
    </row>
    <row r="109" ht="15.75" customHeight="1">
      <c r="I109" s="5"/>
    </row>
    <row r="110" ht="15.75" customHeight="1">
      <c r="I110" s="5"/>
    </row>
    <row r="111" ht="15.75" customHeight="1">
      <c r="I111" s="5"/>
    </row>
    <row r="112" ht="15.75" customHeight="1">
      <c r="I112" s="5"/>
    </row>
    <row r="113" ht="15.75" customHeight="1">
      <c r="I113" s="5"/>
    </row>
    <row r="114" ht="15.75" customHeight="1">
      <c r="I114" s="5"/>
    </row>
    <row r="115" ht="15.75" customHeight="1">
      <c r="I115" s="5"/>
    </row>
    <row r="116" ht="15.75" customHeight="1">
      <c r="I116" s="5"/>
    </row>
    <row r="117" ht="15.75" customHeight="1">
      <c r="I117" s="5"/>
    </row>
    <row r="118" ht="15.75" customHeight="1">
      <c r="I118" s="5"/>
    </row>
    <row r="119" ht="15.75" customHeight="1">
      <c r="I119" s="5"/>
    </row>
    <row r="120" ht="15.75" customHeight="1">
      <c r="I120" s="5"/>
    </row>
    <row r="121" ht="15.75" customHeight="1">
      <c r="I121" s="5"/>
    </row>
    <row r="122" ht="15.75" customHeight="1">
      <c r="I122" s="5"/>
    </row>
    <row r="123" ht="15.75" customHeight="1">
      <c r="I123" s="5"/>
    </row>
    <row r="124" ht="15.75" customHeight="1">
      <c r="I124" s="5"/>
    </row>
    <row r="125" ht="15.75" customHeight="1">
      <c r="I125" s="5"/>
    </row>
    <row r="126" ht="15.75" customHeight="1">
      <c r="I126" s="5"/>
    </row>
    <row r="127" ht="15.75" customHeight="1">
      <c r="I127" s="5"/>
    </row>
    <row r="128" ht="15.75" customHeight="1">
      <c r="I128" s="5"/>
    </row>
    <row r="129" ht="15.75" customHeight="1">
      <c r="I129" s="5"/>
    </row>
    <row r="130" ht="15.75" customHeight="1">
      <c r="I130" s="5"/>
    </row>
    <row r="131" ht="15.75" customHeight="1">
      <c r="I131" s="5"/>
    </row>
    <row r="132" ht="15.75" customHeight="1">
      <c r="I132" s="5"/>
    </row>
    <row r="133" ht="15.75" customHeight="1">
      <c r="I133" s="5"/>
    </row>
    <row r="134" ht="15.75" customHeight="1">
      <c r="I134" s="5"/>
    </row>
    <row r="135" ht="15.75" customHeight="1">
      <c r="I135" s="5"/>
    </row>
    <row r="136" ht="15.75" customHeight="1">
      <c r="I136" s="5"/>
    </row>
    <row r="137" ht="15.75" customHeight="1">
      <c r="I137" s="5"/>
    </row>
    <row r="138" ht="15.75" customHeight="1">
      <c r="I138" s="5"/>
    </row>
    <row r="139" ht="15.75" customHeight="1">
      <c r="I139" s="5"/>
    </row>
    <row r="140" ht="15.75" customHeight="1">
      <c r="I140" s="5"/>
    </row>
    <row r="141" ht="15.75" customHeight="1">
      <c r="I141" s="5"/>
    </row>
    <row r="142" ht="15.75" customHeight="1">
      <c r="I142" s="5"/>
    </row>
    <row r="143" ht="15.75" customHeight="1">
      <c r="I143" s="5"/>
    </row>
    <row r="144" ht="15.75" customHeight="1">
      <c r="I144" s="5"/>
    </row>
    <row r="145" ht="15.75" customHeight="1">
      <c r="I145" s="5"/>
    </row>
    <row r="146" ht="15.75" customHeight="1">
      <c r="I146" s="5"/>
    </row>
    <row r="147" ht="15.75" customHeight="1">
      <c r="I147" s="5"/>
    </row>
    <row r="148" ht="15.75" customHeight="1">
      <c r="I148" s="5"/>
    </row>
    <row r="149" ht="15.75" customHeight="1">
      <c r="I149" s="5"/>
    </row>
    <row r="150" ht="15.75" customHeight="1">
      <c r="I150" s="5"/>
    </row>
    <row r="151" ht="15.75" customHeight="1">
      <c r="I151" s="5"/>
    </row>
    <row r="152" ht="15.75" customHeight="1">
      <c r="I152" s="5"/>
    </row>
    <row r="153" ht="15.75" customHeight="1">
      <c r="I153" s="5"/>
    </row>
    <row r="154" ht="15.75" customHeight="1">
      <c r="I154" s="5"/>
    </row>
    <row r="155" ht="15.75" customHeight="1">
      <c r="I155" s="5"/>
    </row>
    <row r="156" ht="15.75" customHeight="1">
      <c r="I156" s="5"/>
    </row>
    <row r="157" ht="15.75" customHeight="1">
      <c r="I157" s="5"/>
    </row>
    <row r="158" ht="15.75" customHeight="1">
      <c r="I158" s="5"/>
    </row>
    <row r="159" ht="15.75" customHeight="1">
      <c r="I159" s="5"/>
    </row>
    <row r="160" ht="15.75" customHeight="1">
      <c r="I160" s="5"/>
    </row>
    <row r="161" ht="15.75" customHeight="1">
      <c r="I161" s="5"/>
    </row>
    <row r="162" ht="15.75" customHeight="1">
      <c r="I162" s="5"/>
    </row>
    <row r="163" ht="15.75" customHeight="1">
      <c r="I163" s="5"/>
    </row>
    <row r="164" ht="15.75" customHeight="1">
      <c r="I164" s="5"/>
    </row>
    <row r="165" ht="15.75" customHeight="1">
      <c r="I165" s="5"/>
    </row>
    <row r="166" ht="15.75" customHeight="1">
      <c r="I166" s="5"/>
    </row>
    <row r="167" ht="15.75" customHeight="1">
      <c r="I167" s="5"/>
    </row>
    <row r="168" ht="15.75" customHeight="1">
      <c r="I168" s="5"/>
    </row>
    <row r="169" ht="15.75" customHeight="1">
      <c r="I169" s="5"/>
    </row>
    <row r="170" ht="15.75" customHeight="1">
      <c r="I170" s="5"/>
    </row>
    <row r="171" ht="15.75" customHeight="1">
      <c r="I171" s="5"/>
    </row>
    <row r="172" ht="15.75" customHeight="1">
      <c r="I172" s="5"/>
    </row>
    <row r="173" ht="15.75" customHeight="1">
      <c r="I173" s="5"/>
    </row>
    <row r="174" ht="15.75" customHeight="1">
      <c r="I174" s="5"/>
    </row>
    <row r="175" ht="15.75" customHeight="1">
      <c r="I175" s="5"/>
    </row>
    <row r="176" ht="15.75" customHeight="1">
      <c r="I176" s="5"/>
    </row>
    <row r="177" ht="15.75" customHeight="1">
      <c r="I177" s="5"/>
    </row>
    <row r="178" ht="15.75" customHeight="1">
      <c r="I178" s="5"/>
    </row>
    <row r="179" ht="15.75" customHeight="1">
      <c r="I179" s="5"/>
    </row>
    <row r="180" ht="15.75" customHeight="1">
      <c r="I180" s="5"/>
    </row>
    <row r="181" ht="15.75" customHeight="1">
      <c r="I181" s="5"/>
    </row>
    <row r="182" ht="15.75" customHeight="1">
      <c r="I182" s="5"/>
    </row>
    <row r="183" ht="15.75" customHeight="1">
      <c r="I183" s="5"/>
    </row>
    <row r="184" ht="15.75" customHeight="1">
      <c r="I184" s="5"/>
    </row>
    <row r="185" ht="15.75" customHeight="1">
      <c r="I185" s="5"/>
    </row>
    <row r="186" ht="15.75" customHeight="1">
      <c r="I186" s="5"/>
    </row>
    <row r="187" ht="15.75" customHeight="1">
      <c r="I187" s="5"/>
    </row>
    <row r="188" ht="15.75" customHeight="1">
      <c r="I188" s="5"/>
    </row>
    <row r="189" ht="15.75" customHeight="1">
      <c r="I189" s="5"/>
    </row>
    <row r="190" ht="15.75" customHeight="1">
      <c r="I190" s="5"/>
    </row>
    <row r="191" ht="15.75" customHeight="1">
      <c r="I191" s="5"/>
    </row>
    <row r="192" ht="15.75" customHeight="1">
      <c r="I192" s="5"/>
    </row>
    <row r="193" ht="15.75" customHeight="1">
      <c r="I193" s="5"/>
    </row>
    <row r="194" ht="15.75" customHeight="1">
      <c r="I194" s="5"/>
    </row>
    <row r="195" ht="15.75" customHeight="1">
      <c r="I195" s="5"/>
    </row>
    <row r="196" ht="15.75" customHeight="1">
      <c r="I196" s="5"/>
    </row>
    <row r="197" ht="15.75" customHeight="1">
      <c r="I197" s="5"/>
    </row>
    <row r="198" ht="15.75" customHeight="1">
      <c r="I198" s="5"/>
    </row>
    <row r="199" ht="15.75" customHeight="1">
      <c r="I199" s="5"/>
    </row>
    <row r="200" ht="15.75" customHeight="1">
      <c r="I200" s="5"/>
    </row>
    <row r="201" ht="15.75" customHeight="1">
      <c r="I201" s="5"/>
    </row>
    <row r="202" ht="15.75" customHeight="1">
      <c r="I202" s="5"/>
    </row>
    <row r="203" ht="15.75" customHeight="1">
      <c r="I203" s="5"/>
    </row>
    <row r="204" ht="15.75" customHeight="1">
      <c r="I204" s="5"/>
    </row>
    <row r="205" ht="15.75" customHeight="1">
      <c r="I205" s="5"/>
    </row>
    <row r="206" ht="15.75" customHeight="1">
      <c r="I206" s="5"/>
    </row>
    <row r="207" ht="15.75" customHeight="1">
      <c r="I207" s="5"/>
    </row>
    <row r="208" ht="15.75" customHeight="1">
      <c r="I208" s="5"/>
    </row>
    <row r="209" ht="15.75" customHeight="1">
      <c r="I209" s="5"/>
    </row>
    <row r="210" ht="15.75" customHeight="1">
      <c r="I210" s="5"/>
    </row>
    <row r="211" ht="15.75" customHeight="1">
      <c r="I211" s="5"/>
    </row>
    <row r="212" ht="15.75" customHeight="1">
      <c r="I212" s="5"/>
    </row>
    <row r="213" ht="15.75" customHeight="1">
      <c r="I213" s="5"/>
    </row>
    <row r="214" ht="15.75" customHeight="1">
      <c r="I214" s="5"/>
    </row>
    <row r="215" ht="15.75" customHeight="1">
      <c r="I215" s="5"/>
    </row>
    <row r="216" ht="15.75" customHeight="1">
      <c r="I216" s="5"/>
    </row>
    <row r="217" ht="15.75" customHeight="1">
      <c r="I217" s="5"/>
    </row>
    <row r="218" ht="15.75" customHeight="1">
      <c r="I218" s="5"/>
    </row>
    <row r="219" ht="15.75" customHeight="1">
      <c r="I219" s="5"/>
    </row>
    <row r="220" ht="15.75" customHeight="1">
      <c r="I220" s="5"/>
    </row>
    <row r="221" ht="15.75" customHeight="1">
      <c r="I221" s="5"/>
    </row>
    <row r="222" ht="15.75" customHeight="1">
      <c r="I222" s="5"/>
    </row>
    <row r="223" ht="15.75" customHeight="1">
      <c r="I223" s="5"/>
    </row>
    <row r="224" ht="15.75" customHeight="1">
      <c r="I224" s="5"/>
    </row>
    <row r="225" ht="15.75" customHeight="1">
      <c r="I225" s="5"/>
    </row>
    <row r="226" ht="15.75" customHeight="1">
      <c r="I226" s="5"/>
    </row>
    <row r="227" ht="15.75" customHeight="1">
      <c r="I227" s="5"/>
    </row>
    <row r="228" ht="15.75" customHeight="1">
      <c r="I228" s="5"/>
    </row>
    <row r="229" ht="15.75" customHeight="1">
      <c r="I229" s="5"/>
    </row>
    <row r="230" ht="15.75" customHeight="1">
      <c r="I230" s="5"/>
    </row>
    <row r="231" ht="15.75" customHeight="1">
      <c r="I231" s="5"/>
    </row>
    <row r="232" ht="15.75" customHeight="1">
      <c r="I232" s="5"/>
    </row>
    <row r="233" ht="15.75" customHeight="1">
      <c r="I233" s="5"/>
    </row>
    <row r="234" ht="15.75" customHeight="1">
      <c r="I234" s="5"/>
    </row>
    <row r="235" ht="15.75" customHeight="1">
      <c r="I235" s="5"/>
    </row>
    <row r="236" ht="15.75" customHeight="1">
      <c r="I236" s="5"/>
    </row>
    <row r="237" ht="15.75" customHeight="1">
      <c r="I237" s="5"/>
    </row>
    <row r="238" ht="15.75" customHeight="1">
      <c r="I238" s="5"/>
    </row>
    <row r="239" ht="15.75" customHeight="1">
      <c r="I239" s="5"/>
    </row>
    <row r="240" ht="15.75" customHeight="1">
      <c r="I240" s="5"/>
    </row>
    <row r="241" ht="15.75" customHeight="1">
      <c r="I241" s="5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H1"/>
    <mergeCell ref="A5:G5"/>
    <mergeCell ref="A7:H7"/>
    <mergeCell ref="A20:F20"/>
    <mergeCell ref="A23:B23"/>
    <mergeCell ref="D23:E23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88"/>
    <col customWidth="1" min="2" max="2" width="65.0"/>
    <col customWidth="1" min="3" max="3" width="14.25"/>
    <col customWidth="1" min="4" max="4" width="20.13"/>
    <col customWidth="1" min="5" max="5" width="8.75"/>
    <col customWidth="1" min="6" max="6" width="34.38"/>
    <col customWidth="1" min="7" max="7" width="12.63"/>
    <col customWidth="1" min="8" max="8" width="21.88"/>
    <col customWidth="1" min="9" max="26" width="14.38"/>
  </cols>
  <sheetData>
    <row r="1">
      <c r="A1" s="3" t="s">
        <v>67</v>
      </c>
      <c r="B1" s="2"/>
      <c r="C1" s="2"/>
      <c r="D1" s="2"/>
    </row>
    <row r="2">
      <c r="A2" s="12" t="s">
        <v>68</v>
      </c>
      <c r="B2" s="14" t="s">
        <v>3</v>
      </c>
      <c r="C2" s="14" t="s">
        <v>15</v>
      </c>
      <c r="D2" s="16" t="s">
        <v>53</v>
      </c>
      <c r="F2" s="98" t="s">
        <v>70</v>
      </c>
      <c r="G2" s="100">
        <f>C3</f>
        <v>21836</v>
      </c>
      <c r="H2" s="83"/>
    </row>
    <row r="3">
      <c r="A3" s="104" t="s">
        <v>72</v>
      </c>
      <c r="B3" s="105" t="s">
        <v>74</v>
      </c>
      <c r="C3" s="110">
        <f>FaturamentoXCustos!D10</f>
        <v>21836</v>
      </c>
      <c r="D3" s="111"/>
      <c r="F3" s="98" t="s">
        <v>82</v>
      </c>
      <c r="G3" s="112">
        <f>D10</f>
        <v>0.2140595042</v>
      </c>
      <c r="H3" s="113">
        <f>C10</f>
        <v>4674.203333</v>
      </c>
    </row>
    <row r="4">
      <c r="A4" s="24"/>
      <c r="B4" s="116" t="s">
        <v>83</v>
      </c>
      <c r="C4" s="117">
        <f>FaturamentoXCustos!D28</f>
        <v>0</v>
      </c>
      <c r="D4" s="118"/>
      <c r="F4" s="98" t="s">
        <v>84</v>
      </c>
      <c r="G4" s="112">
        <f>B32</f>
        <v>0.03574348439</v>
      </c>
      <c r="H4" s="119" t="s">
        <v>85</v>
      </c>
    </row>
    <row r="5" ht="39.75" customHeight="1">
      <c r="A5" s="26" t="s">
        <v>86</v>
      </c>
      <c r="B5" s="61" t="s">
        <v>87</v>
      </c>
      <c r="C5" s="120"/>
      <c r="D5" s="121"/>
      <c r="E5" s="122"/>
      <c r="F5" s="98" t="s">
        <v>88</v>
      </c>
      <c r="G5" s="123">
        <f>B38</f>
        <v>27.97712694</v>
      </c>
      <c r="H5" s="123" t="s">
        <v>89</v>
      </c>
    </row>
    <row r="6">
      <c r="A6" s="26" t="s">
        <v>90</v>
      </c>
      <c r="B6" s="61" t="s">
        <v>91</v>
      </c>
      <c r="C6" s="88">
        <f>FaturamentoXCustos!D34</f>
        <v>4476.38</v>
      </c>
      <c r="D6" s="124"/>
    </row>
    <row r="7">
      <c r="A7" s="125"/>
      <c r="B7" s="126" t="s">
        <v>62</v>
      </c>
      <c r="C7" s="127">
        <f>SUM(C4:C6)</f>
        <v>4476.38</v>
      </c>
      <c r="D7" s="128"/>
    </row>
    <row r="8">
      <c r="A8" s="129"/>
      <c r="B8" s="84" t="s">
        <v>93</v>
      </c>
      <c r="C8" s="130">
        <f>C3-C7</f>
        <v>17359.62</v>
      </c>
      <c r="D8" s="131"/>
    </row>
    <row r="9">
      <c r="A9" s="132" t="s">
        <v>94</v>
      </c>
      <c r="B9" s="133" t="s">
        <v>95</v>
      </c>
      <c r="C9" s="134">
        <f>'cont... custos'!B41</f>
        <v>12685.41667</v>
      </c>
      <c r="D9" s="135"/>
    </row>
    <row r="10">
      <c r="A10" s="136"/>
      <c r="B10" s="137" t="s">
        <v>97</v>
      </c>
      <c r="C10" s="139">
        <f>C8-C9</f>
        <v>4674.203333</v>
      </c>
      <c r="D10" s="142">
        <f>C10/C3</f>
        <v>0.2140595042</v>
      </c>
    </row>
    <row r="11">
      <c r="F11" s="143"/>
    </row>
    <row r="12">
      <c r="F12" s="143"/>
    </row>
    <row r="13">
      <c r="A13" s="3" t="s">
        <v>102</v>
      </c>
      <c r="B13" s="2"/>
      <c r="C13" s="2"/>
      <c r="D13" s="4"/>
      <c r="F13" s="143"/>
    </row>
    <row r="14">
      <c r="A14" s="145" t="s">
        <v>103</v>
      </c>
      <c r="B14" s="2"/>
      <c r="C14" s="2"/>
      <c r="D14" s="4"/>
      <c r="F14" s="143"/>
    </row>
    <row r="15">
      <c r="A15" s="145" t="s">
        <v>106</v>
      </c>
      <c r="B15" s="2"/>
      <c r="C15" s="2"/>
      <c r="D15" s="4"/>
      <c r="F15" s="143"/>
    </row>
    <row r="16">
      <c r="A16" s="146" t="s">
        <v>110</v>
      </c>
      <c r="B16" s="147"/>
      <c r="C16" s="147"/>
      <c r="D16" s="148"/>
      <c r="F16" s="143"/>
    </row>
    <row r="17">
      <c r="A17" s="149" t="s">
        <v>114</v>
      </c>
      <c r="B17" s="150">
        <f>C8/C3</f>
        <v>0.795</v>
      </c>
      <c r="C17" s="151"/>
      <c r="F17" s="72"/>
    </row>
    <row r="18">
      <c r="A18" s="152" t="s">
        <v>123</v>
      </c>
      <c r="B18" s="154">
        <f>C9/B17</f>
        <v>15956.49895</v>
      </c>
      <c r="C18" s="155"/>
      <c r="F18" s="72"/>
    </row>
    <row r="19" ht="34.5" customHeight="1">
      <c r="A19" s="156" t="s">
        <v>125</v>
      </c>
      <c r="B19" s="2"/>
      <c r="C19" s="2"/>
      <c r="D19" s="4"/>
    </row>
    <row r="21" ht="15.75" customHeight="1"/>
    <row r="22" ht="15.75" customHeight="1">
      <c r="A22" s="3" t="s">
        <v>82</v>
      </c>
      <c r="B22" s="2"/>
      <c r="C22" s="2"/>
      <c r="D22" s="4"/>
    </row>
    <row r="23" ht="15.75" customHeight="1">
      <c r="A23" s="145" t="s">
        <v>126</v>
      </c>
      <c r="B23" s="2"/>
      <c r="C23" s="2"/>
      <c r="D23" s="4"/>
    </row>
    <row r="24" ht="15.75" customHeight="1">
      <c r="A24" s="146" t="s">
        <v>127</v>
      </c>
      <c r="B24" s="147"/>
      <c r="C24" s="147"/>
      <c r="D24" s="148"/>
    </row>
    <row r="25" ht="15.75" customHeight="1">
      <c r="A25" s="152" t="s">
        <v>82</v>
      </c>
      <c r="B25" s="157">
        <f>C10/C3</f>
        <v>0.2140595042</v>
      </c>
      <c r="C25" s="158"/>
      <c r="D25" s="159"/>
    </row>
    <row r="26" ht="15.75" customHeight="1">
      <c r="A26" s="156" t="s">
        <v>128</v>
      </c>
      <c r="B26" s="2"/>
      <c r="C26" s="2"/>
      <c r="D26" s="4"/>
    </row>
    <row r="27" ht="15.75" customHeight="1"/>
    <row r="28" ht="15.75" customHeight="1"/>
    <row r="29" ht="15.75" customHeight="1">
      <c r="A29" s="3" t="s">
        <v>84</v>
      </c>
      <c r="B29" s="2"/>
      <c r="C29" s="2"/>
      <c r="D29" s="4"/>
    </row>
    <row r="30" ht="15.75" customHeight="1">
      <c r="A30" s="145" t="s">
        <v>129</v>
      </c>
      <c r="B30" s="2"/>
      <c r="C30" s="2"/>
      <c r="D30" s="4"/>
    </row>
    <row r="31" ht="15.75" customHeight="1">
      <c r="A31" s="146" t="s">
        <v>130</v>
      </c>
      <c r="B31" s="147"/>
      <c r="C31" s="147"/>
      <c r="D31" s="148"/>
    </row>
    <row r="32" ht="15.75" customHeight="1">
      <c r="A32" s="152" t="s">
        <v>84</v>
      </c>
      <c r="B32" s="157">
        <f>C10/'Investimento Total'!B6</f>
        <v>0.03574348439</v>
      </c>
      <c r="C32" s="158"/>
      <c r="D32" s="159"/>
    </row>
    <row r="33" ht="15.75" customHeight="1">
      <c r="A33" s="156" t="s">
        <v>131</v>
      </c>
      <c r="B33" s="2"/>
      <c r="C33" s="2"/>
      <c r="D33" s="4"/>
    </row>
    <row r="34" ht="15.75" customHeight="1"/>
    <row r="35" ht="15.75" customHeight="1">
      <c r="A35" s="3" t="s">
        <v>132</v>
      </c>
      <c r="B35" s="2"/>
      <c r="C35" s="2"/>
      <c r="D35" s="4"/>
    </row>
    <row r="36" ht="15.75" customHeight="1">
      <c r="A36" s="145" t="s">
        <v>133</v>
      </c>
      <c r="B36" s="2"/>
      <c r="C36" s="2"/>
      <c r="D36" s="4"/>
    </row>
    <row r="37" ht="15.75" customHeight="1">
      <c r="A37" s="146" t="s">
        <v>130</v>
      </c>
      <c r="B37" s="147"/>
      <c r="C37" s="147"/>
      <c r="D37" s="148"/>
    </row>
    <row r="38" ht="15.75" customHeight="1">
      <c r="A38" s="152" t="s">
        <v>132</v>
      </c>
      <c r="B38" s="160">
        <f>'Investimento Total'!B6/C10</f>
        <v>27.97712694</v>
      </c>
      <c r="C38" s="161"/>
      <c r="D38" s="159"/>
    </row>
    <row r="39" ht="33.0" customHeight="1">
      <c r="A39" s="156" t="s">
        <v>134</v>
      </c>
      <c r="B39" s="2"/>
      <c r="C39" s="2"/>
      <c r="D39" s="4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D1"/>
    <mergeCell ref="G2:H2"/>
    <mergeCell ref="C4:C5"/>
    <mergeCell ref="A13:D13"/>
    <mergeCell ref="A14:D14"/>
    <mergeCell ref="A15:D15"/>
    <mergeCell ref="A16:D16"/>
    <mergeCell ref="A19:D19"/>
    <mergeCell ref="A22:D22"/>
    <mergeCell ref="A23:D23"/>
    <mergeCell ref="A24:D24"/>
    <mergeCell ref="C25:D25"/>
    <mergeCell ref="A26:D26"/>
    <mergeCell ref="A29:D29"/>
    <mergeCell ref="C38:D38"/>
    <mergeCell ref="A39:D39"/>
    <mergeCell ref="A30:D30"/>
    <mergeCell ref="A31:D31"/>
    <mergeCell ref="C32:D32"/>
    <mergeCell ref="A33:D33"/>
    <mergeCell ref="A35:D35"/>
    <mergeCell ref="A36:D36"/>
    <mergeCell ref="A37:D37"/>
  </mergeCells>
  <printOptions/>
  <pageMargins bottom="0.787401575" footer="0.0" header="0.0" left="0.511811024" right="0.511811024" top="0.787401575"/>
  <pageSetup paperSize="9" orientation="portrait"/>
  <drawing r:id="rId1"/>
</worksheet>
</file>